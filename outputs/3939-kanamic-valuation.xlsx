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939_valu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  <sz val="11"/>
    </font>
    <font>
      <b val="1"/>
      <color rgb="00000000"/>
    </font>
    <font>
      <color rgb="00000000"/>
      <sz val="11"/>
    </font>
    <font>
      <color rgb="00000000"/>
    </font>
    <font>
      <color rgb="001F4E78"/>
      <sz val="11"/>
    </font>
    <font>
      <color rgb="001F4E78"/>
    </font>
    <font>
      <b val="1"/>
      <color rgb="001F4E78"/>
      <sz val="11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2" fontId="3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売上・粗利・営業利益 と OPM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'3939_valuation'!A3</f>
            </strRef>
          </tx>
          <spPr>
            <a:ln xmlns:a="http://schemas.openxmlformats.org/drawingml/2006/main">
              <a:prstDash val="solid"/>
            </a:ln>
          </spPr>
          <cat>
            <numRef>
              <f>'3939_valuation'!$B$1:$I$1</f>
            </numRef>
          </cat>
          <val>
            <numRef>
              <f>'3939_valuation'!$B$3:$I$3</f>
            </numRef>
          </val>
        </ser>
        <ser>
          <idx val="1"/>
          <order val="1"/>
          <tx>
            <strRef>
              <f>'3939_valuation'!A32</f>
            </strRef>
          </tx>
          <spPr>
            <a:ln xmlns:a="http://schemas.openxmlformats.org/drawingml/2006/main">
              <a:prstDash val="solid"/>
            </a:ln>
          </spPr>
          <cat>
            <numRef>
              <f>'3939_valuation'!$B$1:$I$1</f>
            </numRef>
          </cat>
          <val>
            <numRef>
              <f>'3939_valuation'!$B$32:$I$32</f>
            </numRef>
          </val>
        </ser>
        <ser>
          <idx val="2"/>
          <order val="2"/>
          <tx>
            <strRef>
              <f>'3939_valuation'!A48</f>
            </strRef>
          </tx>
          <spPr>
            <a:ln xmlns:a="http://schemas.openxmlformats.org/drawingml/2006/main">
              <a:prstDash val="solid"/>
            </a:ln>
          </spPr>
          <cat>
            <numRef>
              <f>'3939_valuation'!$B$1:$I$1</f>
            </numRef>
          </cat>
          <val>
            <numRef>
              <f>'3939_valuation'!$B$48:$I$48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strRef>
              <f>'3939_valuation'!A47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'3939_valuation'!$B$47:$I$47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有料ユーザー数 と 月額ARPU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'3939_valuation'!A15</f>
            </strRef>
          </tx>
          <spPr>
            <a:ln xmlns:a="http://schemas.openxmlformats.org/drawingml/2006/main">
              <a:prstDash val="solid"/>
            </a:ln>
          </spPr>
          <cat>
            <numRef>
              <f>'3939_valuation'!$B$1:$I$1</f>
            </numRef>
          </cat>
          <val>
            <numRef>
              <f>'3939_valuation'!$B$15:$I$15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'3939_valuation'!A17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'3939_valuation'!$B$17:$I$17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セグメント別売上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'3939_valuation'!A7</f>
            </strRef>
          </tx>
          <spPr>
            <a:ln xmlns:a="http://schemas.openxmlformats.org/drawingml/2006/main">
              <a:prstDash val="solid"/>
            </a:ln>
          </spPr>
          <cat>
            <numRef>
              <f>'3939_valuation'!$B$1:$I$1</f>
            </numRef>
          </cat>
          <val>
            <numRef>
              <f>'3939_valuation'!$B$7:$I$7</f>
            </numRef>
          </val>
        </ser>
        <ser>
          <idx val="1"/>
          <order val="1"/>
          <tx>
            <strRef>
              <f>'3939_valuation'!A11</f>
            </strRef>
          </tx>
          <spPr>
            <a:ln xmlns:a="http://schemas.openxmlformats.org/drawingml/2006/main">
              <a:prstDash val="solid"/>
            </a:ln>
          </spPr>
          <cat>
            <numRef>
              <f>'3939_valuation'!$B$1:$I$1</f>
            </numRef>
          </cat>
          <val>
            <numRef>
              <f>'3939_valuation'!$B$11:$I$11</f>
            </numRef>
          </val>
        </ser>
        <ser>
          <idx val="2"/>
          <order val="2"/>
          <tx>
            <strRef>
              <f>'3939_valuation'!A12</f>
            </strRef>
          </tx>
          <spPr>
            <a:ln xmlns:a="http://schemas.openxmlformats.org/drawingml/2006/main">
              <a:prstDash val="solid"/>
            </a:ln>
          </spPr>
          <cat>
            <numRef>
              <f>'3939_valuation'!$B$1:$I$1</f>
            </numRef>
          </cat>
          <val>
            <numRef>
              <f>'3939_valuation'!$B$12:$I$12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strRef>
              <f>'3939_valuation'!A4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'3939_valuation'!$B$4:$I$4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時価総額据置PERの低下 (織り込み済み反論)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'3939_valuation'!A75</f>
            </strRef>
          </tx>
          <spPr>
            <a:ln xmlns:a="http://schemas.openxmlformats.org/drawingml/2006/main">
              <a:prstDash val="solid"/>
            </a:ln>
          </spPr>
          <cat>
            <numRef>
              <f>'3939_valuation'!$B$1:$I$1</f>
            </numRef>
          </cat>
          <val>
            <numRef>
              <f>'3939_valuation'!$B$75:$I$75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'3939_valuation'!A76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'3939_valuation'!$B$76:$I$76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79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41</row>
      <rowOff>0</rowOff>
    </from>
    <ext cx="792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61</row>
      <rowOff>0</rowOff>
    </from>
    <ext cx="792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8" customWidth="1" min="10" max="10"/>
    <col width="50" customWidth="1" min="11" max="11"/>
  </cols>
  <sheetData>
    <row r="1">
      <c r="A1" s="1" t="inlineStr">
        <is>
          <t>従属変数=黒、独立変数=青</t>
        </is>
      </c>
      <c r="B1" s="2" t="inlineStr">
        <is>
          <t>FY23/9 実</t>
        </is>
      </c>
      <c r="C1" s="2" t="inlineStr">
        <is>
          <t>FY24/9 実</t>
        </is>
      </c>
      <c r="D1" s="2" t="inlineStr">
        <is>
          <t>FY25/9 実</t>
        </is>
      </c>
      <c r="E1" s="2" t="inlineStr">
        <is>
          <t>FY26/9 予(会社)</t>
        </is>
      </c>
      <c r="F1" s="2" t="inlineStr">
        <is>
          <t>FY27/9 予(Base)</t>
        </is>
      </c>
      <c r="G1" s="2" t="inlineStr">
        <is>
          <t>FY28/9 Bear</t>
        </is>
      </c>
      <c r="H1" s="2" t="inlineStr">
        <is>
          <t>FY28/9 Base</t>
        </is>
      </c>
      <c r="I1" s="2" t="inlineStr">
        <is>
          <t>FY28/9 Bull</t>
        </is>
      </c>
      <c r="J1" s="2" t="inlineStr">
        <is>
          <t>重要度</t>
        </is>
      </c>
      <c r="K1" s="2" t="inlineStr">
        <is>
          <t>備考</t>
        </is>
      </c>
    </row>
    <row r="2">
      <c r="A2" s="3" t="inlineStr">
        <is>
          <t>【売上高】</t>
        </is>
      </c>
      <c r="J2" s="4" t="inlineStr"/>
      <c r="K2" s="5" t="inlineStr"/>
    </row>
    <row r="3">
      <c r="A3" s="6" t="inlineStr">
        <is>
          <t>売上高 合計</t>
        </is>
      </c>
      <c r="B3" s="7">
        <f>B7+B11+B12</f>
        <v/>
      </c>
      <c r="C3" s="7">
        <f>C7+C11+C12</f>
        <v/>
      </c>
      <c r="D3" s="7">
        <f>D7+D11+D12</f>
        <v/>
      </c>
      <c r="E3" s="7">
        <f>E7+E11+E12</f>
        <v/>
      </c>
      <c r="F3" s="7">
        <f>F7+F11+F12</f>
        <v/>
      </c>
      <c r="G3" s="7">
        <f>G7+G11+G12</f>
        <v/>
      </c>
      <c r="H3" s="7">
        <f>H7+H11+H12</f>
        <v/>
      </c>
      <c r="I3" s="7">
        <f>I7+I11+I12</f>
        <v/>
      </c>
      <c r="J3" s="4" t="inlineStr"/>
      <c r="K3" s="5">
        <f>セグメント3区分の合計。FY23のクラウドPF事業内訳は健康寿命延伸を控除した値</f>
        <v/>
      </c>
    </row>
    <row r="4">
      <c r="A4" s="8" t="inlineStr">
        <is>
          <t xml:space="preserve">　増収率(YoY)</t>
        </is>
      </c>
      <c r="B4" s="9" t="n"/>
      <c r="C4" s="9">
        <f>C3/B3-1</f>
        <v/>
      </c>
      <c r="D4" s="9">
        <f>D3/C3-1</f>
        <v/>
      </c>
      <c r="E4" s="9">
        <f>E3/D3-1</f>
        <v/>
      </c>
      <c r="F4" s="9">
        <f>F3/E3-1</f>
        <v/>
      </c>
      <c r="G4" s="9" t="n"/>
      <c r="H4" s="9" t="n"/>
      <c r="I4" s="9" t="n"/>
      <c r="J4" s="10" t="inlineStr"/>
      <c r="K4" s="11">
        <f>(今期売上÷前期売上)−1。FY28 3シナリオはYoY概念外につき空白</f>
        <v/>
      </c>
    </row>
    <row r="6">
      <c r="A6" s="3" t="inlineStr">
        <is>
          <t>【セグメント別売上】</t>
        </is>
      </c>
      <c r="J6" s="4" t="inlineStr"/>
      <c r="K6" s="5" t="inlineStr"/>
    </row>
    <row r="7">
      <c r="A7" s="6" t="inlineStr">
        <is>
          <t>医療・介護クラウドPF事業</t>
        </is>
      </c>
      <c r="B7" s="7">
        <f>B8+B9+B10</f>
        <v/>
      </c>
      <c r="C7" s="7">
        <f>C8+C9+C10</f>
        <v/>
      </c>
      <c r="D7" s="7">
        <f>D8+D9+D10</f>
        <v/>
      </c>
      <c r="E7" s="7">
        <f>E8+E9+E10</f>
        <v/>
      </c>
      <c r="F7" s="7">
        <f>F8+F9+F10</f>
        <v/>
      </c>
      <c r="G7" s="7">
        <f>G8+G9+G10</f>
        <v/>
      </c>
      <c r="H7" s="7">
        <f>H8+H9+H10</f>
        <v/>
      </c>
      <c r="I7" s="7">
        <f>I8+I9+I10</f>
        <v/>
      </c>
      <c r="J7" s="4" t="inlineStr">
        <is>
          <t>★★★</t>
        </is>
      </c>
      <c r="K7" s="5">
        <f>カナミッククラウド+プラットフォーム+その他(クラウドPF内)。yuho開示と一致</f>
        <v/>
      </c>
    </row>
    <row r="8">
      <c r="A8" s="12" t="inlineStr">
        <is>
          <t xml:space="preserve">　カナミッククラウドサービス</t>
        </is>
      </c>
      <c r="B8" s="13" t="n">
        <v>2402</v>
      </c>
      <c r="C8" s="13" t="n">
        <v>2853</v>
      </c>
      <c r="D8" s="13" t="n">
        <v>2997</v>
      </c>
      <c r="E8" s="13" t="n">
        <v>3400</v>
      </c>
      <c r="F8" s="13" t="n">
        <v>3900</v>
      </c>
      <c r="G8" s="13" t="n">
        <v>3600</v>
      </c>
      <c r="H8" s="13" t="n">
        <v>4500</v>
      </c>
      <c r="I8" s="13" t="n">
        <v>5700</v>
      </c>
      <c r="J8" s="14" t="inlineStr">
        <is>
          <t>★★★</t>
        </is>
      </c>
      <c r="K8" s="15" t="inlineStr">
        <is>
          <t>ストックビジネス。FY25+5.1%実績、FY24+18.8%(M&amp;A)。AI課金の主受益ライン</t>
        </is>
      </c>
    </row>
    <row r="9">
      <c r="A9" s="12" t="inlineStr">
        <is>
          <t xml:space="preserve">　プラットフォームサービス</t>
        </is>
      </c>
      <c r="B9" s="13" t="n">
        <v>300</v>
      </c>
      <c r="C9" s="13" t="n">
        <v>424</v>
      </c>
      <c r="D9" s="13" t="n">
        <v>474</v>
      </c>
      <c r="E9" s="13" t="n">
        <v>550</v>
      </c>
      <c r="F9" s="13" t="n">
        <v>620</v>
      </c>
      <c r="G9" s="13" t="n">
        <v>550</v>
      </c>
      <c r="H9" s="13" t="n">
        <v>700</v>
      </c>
      <c r="I9" s="13" t="n">
        <v>850</v>
      </c>
      <c r="J9" s="14" t="inlineStr"/>
      <c r="K9" s="15" t="inlineStr">
        <is>
          <t>HP構築/介護労働安定センター受託/インターネット広告。FY25+11.9%</t>
        </is>
      </c>
    </row>
    <row r="10">
      <c r="A10" s="12" t="inlineStr">
        <is>
          <t xml:space="preserve">　その他サービス(クラウドPF内)</t>
        </is>
      </c>
      <c r="B10" s="13" t="n">
        <v>147</v>
      </c>
      <c r="C10" s="13" t="n">
        <v>88</v>
      </c>
      <c r="D10" s="13" t="n">
        <v>112</v>
      </c>
      <c r="E10" s="13" t="n">
        <v>170</v>
      </c>
      <c r="F10" s="13" t="n">
        <v>180</v>
      </c>
      <c r="G10" s="13" t="n">
        <v>150</v>
      </c>
      <c r="H10" s="13" t="n">
        <v>200</v>
      </c>
      <c r="I10" s="13" t="n">
        <v>250</v>
      </c>
      <c r="J10" s="14" t="inlineStr"/>
      <c r="K10" s="15" t="inlineStr">
        <is>
          <t>大口顧客向けカスタマイズ開発受託。ボラあり</t>
        </is>
      </c>
    </row>
    <row r="11">
      <c r="A11" s="16" t="inlineStr">
        <is>
          <t>健康寿命延伸事業</t>
        </is>
      </c>
      <c r="B11" s="17" t="n">
        <v>846</v>
      </c>
      <c r="C11" s="17" t="n">
        <v>1131</v>
      </c>
      <c r="D11" s="17" t="n">
        <v>1188</v>
      </c>
      <c r="E11" s="17" t="n">
        <v>1300</v>
      </c>
      <c r="F11" s="17" t="n">
        <v>1500</v>
      </c>
      <c r="G11" s="17" t="n">
        <v>1400</v>
      </c>
      <c r="H11" s="17" t="n">
        <v>1600</v>
      </c>
      <c r="I11" s="17" t="n">
        <v>1900</v>
      </c>
      <c r="J11" s="18" t="inlineStr">
        <is>
          <t>★★</t>
        </is>
      </c>
      <c r="K11" s="19" t="inlineStr">
        <is>
          <t>アーバンフィット24(FY25末24店舗→Vision 2035で年4-6店舗増想定)</t>
        </is>
      </c>
    </row>
    <row r="12">
      <c r="A12" s="16" t="inlineStr">
        <is>
          <t>ソリューション開発事業</t>
        </is>
      </c>
      <c r="B12" s="17" t="n">
        <v>51</v>
      </c>
      <c r="C12" s="17" t="n">
        <v>512</v>
      </c>
      <c r="D12" s="17" t="n">
        <v>730</v>
      </c>
      <c r="E12" s="17" t="n">
        <v>930</v>
      </c>
      <c r="F12" s="17" t="n">
        <v>1000</v>
      </c>
      <c r="G12" s="17" t="n">
        <v>800</v>
      </c>
      <c r="H12" s="17" t="n">
        <v>1100</v>
      </c>
      <c r="I12" s="17" t="n">
        <v>1400</v>
      </c>
      <c r="J12" s="18" t="inlineStr">
        <is>
          <t>★</t>
        </is>
      </c>
      <c r="K12" s="19" t="inlineStr">
        <is>
          <t>Ruby開発(2023/8連結)+TWM(2025/2連結)。FY25+42.6%</t>
        </is>
      </c>
    </row>
    <row r="14">
      <c r="A14" s="3" t="inlineStr">
        <is>
          <t>【因数分解: 有料ユーザー数 × 月額ARPU × 12ヶ月】</t>
        </is>
      </c>
      <c r="J14" s="4" t="inlineStr"/>
      <c r="K14" s="5" t="inlineStr"/>
    </row>
    <row r="15">
      <c r="A15" s="16" t="inlineStr">
        <is>
          <t>有料ユーザーID数(期末、人)</t>
        </is>
      </c>
      <c r="B15" s="17" t="n">
        <v>155516</v>
      </c>
      <c r="C15" s="17" t="n">
        <v>191813</v>
      </c>
      <c r="D15" s="17" t="n">
        <v>221822</v>
      </c>
      <c r="E15" s="17" t="n">
        <v>240000</v>
      </c>
      <c r="F15" s="17" t="n">
        <v>260000</v>
      </c>
      <c r="G15" s="17" t="n">
        <v>260000</v>
      </c>
      <c r="H15" s="17" t="n">
        <v>280000</v>
      </c>
      <c r="I15" s="17" t="n">
        <v>310000</v>
      </c>
      <c r="J15" s="18" t="inlineStr">
        <is>
          <t>★★★</t>
        </is>
      </c>
      <c r="K15" s="19" t="inlineStr">
        <is>
          <t>決算説明資料1-8。FY26末はFY26-2Q時点247,836→+8%伸び想定。Base CAGR+9%</t>
        </is>
      </c>
    </row>
    <row r="16">
      <c r="A16" s="8" t="inlineStr">
        <is>
          <t xml:space="preserve">　増加率 YoY</t>
        </is>
      </c>
      <c r="B16" s="9" t="n"/>
      <c r="C16" s="9">
        <f>C15/B15-1</f>
        <v/>
      </c>
      <c r="D16" s="9">
        <f>D15/C15-1</f>
        <v/>
      </c>
      <c r="E16" s="9">
        <f>E15/D15-1</f>
        <v/>
      </c>
      <c r="F16" s="9">
        <f>F15/E15-1</f>
        <v/>
      </c>
      <c r="G16" s="9" t="n"/>
      <c r="H16" s="9" t="n"/>
      <c r="I16" s="9" t="n"/>
      <c r="J16" s="10" t="inlineStr"/>
      <c r="K16" s="11">
        <f>(今期ユーザー÷前期ユーザー)−1。FY28 3シナリオはYoY概念外につき空白</f>
        <v/>
      </c>
    </row>
    <row r="17">
      <c r="A17" s="16" t="inlineStr">
        <is>
          <t>クラウドPF+ソリューション 月額ARPU(円)</t>
        </is>
      </c>
      <c r="B17" s="17" t="n">
        <v>1350</v>
      </c>
      <c r="C17" s="17" t="n">
        <v>1500</v>
      </c>
      <c r="D17" s="17" t="n">
        <v>1600</v>
      </c>
      <c r="E17" s="17" t="n">
        <v>1660</v>
      </c>
      <c r="F17" s="17" t="n">
        <v>1750</v>
      </c>
      <c r="G17" s="17" t="n">
        <v>1560</v>
      </c>
      <c r="H17" s="17" t="n">
        <v>1850</v>
      </c>
      <c r="I17" s="17" t="n">
        <v>2100</v>
      </c>
      <c r="J17" s="18" t="inlineStr">
        <is>
          <t>★★★</t>
        </is>
      </c>
      <c r="K17" s="19" t="inlineStr">
        <is>
          <t>(クラウドPF+ソリューション)÷ユーザー数(年央)÷12 から逆算。AI課金がドライバー</t>
        </is>
      </c>
    </row>
    <row r="18">
      <c r="A18" s="8" t="inlineStr">
        <is>
          <t xml:space="preserve">　ARPU 上昇率 YoY</t>
        </is>
      </c>
      <c r="B18" s="9" t="n"/>
      <c r="C18" s="9">
        <f>C17/B17-1</f>
        <v/>
      </c>
      <c r="D18" s="9">
        <f>D17/C17-1</f>
        <v/>
      </c>
      <c r="E18" s="9">
        <f>E17/D17-1</f>
        <v/>
      </c>
      <c r="F18" s="9">
        <f>F17/E17-1</f>
        <v/>
      </c>
      <c r="G18" s="9" t="n"/>
      <c r="H18" s="9" t="n"/>
      <c r="I18" s="9" t="n"/>
      <c r="J18" s="10" t="inlineStr"/>
      <c r="K18" s="11">
        <f>(今期ARPU÷前期ARPU)−1。FY28 BaseはAI課金浸透25-30%でARPU+15.6%、Bull 40%超で+31%超</f>
        <v/>
      </c>
    </row>
    <row r="19">
      <c r="A19" s="6" t="inlineStr">
        <is>
          <t>検算: ユーザー×ARPU×12 (百万円)</t>
        </is>
      </c>
      <c r="B19" s="7">
        <f>B15*B17*12/1000000</f>
        <v/>
      </c>
      <c r="C19" s="7">
        <f>C15*C17*12/1000000</f>
        <v/>
      </c>
      <c r="D19" s="7">
        <f>D15*D17*12/1000000</f>
        <v/>
      </c>
      <c r="E19" s="7">
        <f>E15*E17*12/1000000</f>
        <v/>
      </c>
      <c r="F19" s="7">
        <f>F15*F17*12/1000000</f>
        <v/>
      </c>
      <c r="G19" s="7">
        <f>G15*G17*12/1000000</f>
        <v/>
      </c>
      <c r="H19" s="7">
        <f>H15*H17*12/1000000</f>
        <v/>
      </c>
      <c r="I19" s="7">
        <f>I15*I17*12/1000000</f>
        <v/>
      </c>
      <c r="J19" s="4" t="inlineStr"/>
      <c r="K19" s="5">
        <f>有料ユーザー × ARPU × 12 ÷ 1,000,000。クラウドPF+ソリューション売上と概ね一致を確認</f>
        <v/>
      </c>
    </row>
    <row r="21">
      <c r="A21" s="6" t="inlineStr">
        <is>
          <t xml:space="preserve">  ▽ AI課金浸透(変曲点ドライバー)</t>
        </is>
      </c>
      <c r="J21" s="4" t="inlineStr"/>
      <c r="K21" s="5" t="inlineStr"/>
    </row>
    <row r="22">
      <c r="A22" s="12" t="inlineStr">
        <is>
          <t xml:space="preserve">　AI機能浸透率(有料IDの%)</t>
        </is>
      </c>
      <c r="B22" s="20" t="n">
        <v>0</v>
      </c>
      <c r="C22" s="20" t="n">
        <v>0</v>
      </c>
      <c r="D22" s="20" t="n">
        <v>0</v>
      </c>
      <c r="E22" s="20" t="n">
        <v>0.05</v>
      </c>
      <c r="F22" s="20" t="n">
        <v>0.15</v>
      </c>
      <c r="G22" s="20" t="n">
        <v>0.1</v>
      </c>
      <c r="H22" s="20" t="n">
        <v>0.27</v>
      </c>
      <c r="I22" s="20" t="n">
        <v>0.42</v>
      </c>
      <c r="J22" s="14" t="inlineStr">
        <is>
          <t>★★★</t>
        </is>
      </c>
      <c r="K22" s="15" t="inlineStr">
        <is>
          <t>FY26課金開始(AI100-Vision)。Base FY28で25-30%、Bull 40%超。2027改定で加算要件化なら非線形</t>
        </is>
      </c>
    </row>
    <row r="23">
      <c r="A23" s="12" t="inlineStr">
        <is>
          <t xml:space="preserve">　AI機能 平均月額単価(円)</t>
        </is>
      </c>
      <c r="B23" s="13" t="n"/>
      <c r="C23" s="13" t="n"/>
      <c r="D23" s="13" t="n"/>
      <c r="E23" s="13" t="n">
        <v>800</v>
      </c>
      <c r="F23" s="13" t="n">
        <v>900</v>
      </c>
      <c r="G23" s="13" t="n">
        <v>700</v>
      </c>
      <c r="H23" s="13" t="n">
        <v>1000</v>
      </c>
      <c r="I23" s="13" t="n">
        <v>1200</v>
      </c>
      <c r="J23" s="14" t="inlineStr">
        <is>
          <t>★★</t>
        </is>
      </c>
      <c r="K23" s="15" t="inlineStr">
        <is>
          <t>未開示。ストーリーmdで月額500-1,500円帯。Base 1,000円で置く</t>
        </is>
      </c>
    </row>
    <row r="24">
      <c r="A24" s="8" t="inlineStr">
        <is>
          <t xml:space="preserve">　AI課金 ARPU寄与(円/月、ブレンド)</t>
        </is>
      </c>
      <c r="B24" s="21">
        <f>IFERROR(B22*B23,0)</f>
        <v/>
      </c>
      <c r="C24" s="21">
        <f>IFERROR(C22*C23,0)</f>
        <v/>
      </c>
      <c r="D24" s="21">
        <f>IFERROR(D22*D23,0)</f>
        <v/>
      </c>
      <c r="E24" s="21">
        <f>IFERROR(E22*E23,0)</f>
        <v/>
      </c>
      <c r="F24" s="21">
        <f>IFERROR(F22*F23,0)</f>
        <v/>
      </c>
      <c r="G24" s="21">
        <f>IFERROR(G22*G23,0)</f>
        <v/>
      </c>
      <c r="H24" s="21">
        <f>IFERROR(H22*H23,0)</f>
        <v/>
      </c>
      <c r="I24" s="21">
        <f>IFERROR(I22*I23,0)</f>
        <v/>
      </c>
      <c r="J24" s="10" t="inlineStr"/>
      <c r="K24" s="11">
        <f>AI浸透率 × AI平均単価。Base FY28: 27%×1,000=270円が既存ARPUに上乗せ</f>
        <v/>
      </c>
    </row>
    <row r="26">
      <c r="A26" s="6" t="inlineStr">
        <is>
          <t xml:space="preserve">  ▽ 健康寿命延伸サブドライバー</t>
        </is>
      </c>
      <c r="J26" s="4" t="inlineStr"/>
      <c r="K26" s="5" t="inlineStr"/>
    </row>
    <row r="27">
      <c r="A27" s="12" t="inlineStr">
        <is>
          <t xml:space="preserve">　アーバンフィット 店舗数(期末)</t>
        </is>
      </c>
      <c r="B27" s="13" t="n">
        <v>13</v>
      </c>
      <c r="C27" s="13" t="n">
        <v>20</v>
      </c>
      <c r="D27" s="13" t="n">
        <v>24</v>
      </c>
      <c r="E27" s="13" t="n">
        <v>30</v>
      </c>
      <c r="F27" s="13" t="n">
        <v>35</v>
      </c>
      <c r="G27" s="13" t="n">
        <v>32</v>
      </c>
      <c r="H27" s="13" t="n">
        <v>36</v>
      </c>
      <c r="I27" s="13" t="n">
        <v>42</v>
      </c>
      <c r="J27" s="14" t="inlineStr">
        <is>
          <t>★</t>
        </is>
      </c>
      <c r="K27" s="15" t="inlineStr">
        <is>
          <t>2026/3末で27店舗(2026年5月時点)。Vision 2035で年4-6店舗増</t>
        </is>
      </c>
    </row>
    <row r="28">
      <c r="A28" s="12" t="inlineStr">
        <is>
          <t xml:space="preserve">　1店舗あたり年商(百万円)</t>
        </is>
      </c>
      <c r="B28" s="22" t="n">
        <v>65</v>
      </c>
      <c r="C28" s="22" t="n">
        <v>57</v>
      </c>
      <c r="D28" s="22" t="n">
        <v>49</v>
      </c>
      <c r="E28" s="22" t="n">
        <v>43</v>
      </c>
      <c r="F28" s="22" t="n">
        <v>43</v>
      </c>
      <c r="G28" s="22" t="n">
        <v>44</v>
      </c>
      <c r="H28" s="22" t="n">
        <v>44</v>
      </c>
      <c r="I28" s="22" t="n">
        <v>45</v>
      </c>
      <c r="J28" s="14" t="inlineStr"/>
      <c r="K28" s="15" t="inlineStr">
        <is>
          <t>健康寿命延伸事業売上÷期中平均店舗数。新規出店は当初低稼働、徐々に45百万へ収斂</t>
        </is>
      </c>
    </row>
    <row r="30">
      <c r="A30" s="3" t="inlineStr">
        <is>
          <t>【粗利】</t>
        </is>
      </c>
      <c r="J30" s="4" t="inlineStr"/>
      <c r="K30" s="5" t="inlineStr"/>
    </row>
    <row r="31">
      <c r="A31" s="12" t="inlineStr">
        <is>
          <t xml:space="preserve">　粗利率</t>
        </is>
      </c>
      <c r="B31" s="20" t="n">
        <v>0.6925</v>
      </c>
      <c r="C31" s="20" t="n">
        <v>0.6135</v>
      </c>
      <c r="D31" s="20" t="n">
        <v>0.6428</v>
      </c>
      <c r="E31" s="20" t="n">
        <v>0.65</v>
      </c>
      <c r="F31" s="20" t="n">
        <v>0.66</v>
      </c>
      <c r="G31" s="20" t="n">
        <v>0.645</v>
      </c>
      <c r="H31" s="20" t="n">
        <v>0.67</v>
      </c>
      <c r="I31" s="20" t="n">
        <v>0.6899999999999999</v>
      </c>
      <c r="J31" s="14" t="inlineStr">
        <is>
          <t>★★</t>
        </is>
      </c>
      <c r="K31" s="15" t="inlineStr">
        <is>
          <t>FY23-25は actual_粗利/actual_売上 から計算。FY24はM&amp;A連結で一時悪化。AI限界利益≒100%で漸増</t>
        </is>
      </c>
    </row>
    <row r="32">
      <c r="A32" s="6" t="inlineStr">
        <is>
          <t>売上総利益</t>
        </is>
      </c>
      <c r="B32" s="7">
        <f>B3*B31</f>
        <v/>
      </c>
      <c r="C32" s="7">
        <f>C3*C31</f>
        <v/>
      </c>
      <c r="D32" s="7">
        <f>D3*D31</f>
        <v/>
      </c>
      <c r="E32" s="7">
        <f>E3*E31</f>
        <v/>
      </c>
      <c r="F32" s="7">
        <f>F3*F31</f>
        <v/>
      </c>
      <c r="G32" s="7">
        <f>G3*G31</f>
        <v/>
      </c>
      <c r="H32" s="7">
        <f>H3*H31</f>
        <v/>
      </c>
      <c r="I32" s="7">
        <f>I3*I31</f>
        <v/>
      </c>
      <c r="J32" s="4" t="inlineStr"/>
      <c r="K32" s="5">
        <f>売上高 × 粗利率</f>
        <v/>
      </c>
    </row>
    <row r="33">
      <c r="A33" s="6" t="inlineStr">
        <is>
          <t>売上原価</t>
        </is>
      </c>
      <c r="B33" s="7">
        <f>B3-B32</f>
        <v/>
      </c>
      <c r="C33" s="7">
        <f>C3-C32</f>
        <v/>
      </c>
      <c r="D33" s="7">
        <f>D3-D32</f>
        <v/>
      </c>
      <c r="E33" s="7">
        <f>E3-E32</f>
        <v/>
      </c>
      <c r="F33" s="7">
        <f>F3-F32</f>
        <v/>
      </c>
      <c r="G33" s="7">
        <f>G3-G32</f>
        <v/>
      </c>
      <c r="H33" s="7">
        <f>H3-H32</f>
        <v/>
      </c>
      <c r="I33" s="7">
        <f>I3-I32</f>
        <v/>
      </c>
      <c r="J33" s="4" t="inlineStr"/>
      <c r="K33" s="5">
        <f>売上高 − 売上総利益</f>
        <v/>
      </c>
    </row>
    <row r="35">
      <c r="A35" s="3" t="inlineStr">
        <is>
          <t>【販管費】</t>
        </is>
      </c>
      <c r="J35" s="4" t="inlineStr"/>
      <c r="K35" s="5" t="inlineStr"/>
    </row>
    <row r="36">
      <c r="A36" s="6" t="inlineStr">
        <is>
          <t>販管費 合計</t>
        </is>
      </c>
      <c r="B36" s="7">
        <f>B32-B48</f>
        <v/>
      </c>
      <c r="C36" s="7">
        <f>C32-C48</f>
        <v/>
      </c>
      <c r="D36" s="7">
        <f>D32-D48</f>
        <v/>
      </c>
      <c r="E36" s="7">
        <f>E32-E48</f>
        <v/>
      </c>
      <c r="F36" s="7">
        <f>F32-F48</f>
        <v/>
      </c>
      <c r="G36" s="7">
        <f>G32-G48</f>
        <v/>
      </c>
      <c r="H36" s="7">
        <f>H32-H48</f>
        <v/>
      </c>
      <c r="I36" s="7">
        <f>I32-I48</f>
        <v/>
      </c>
      <c r="J36" s="4" t="inlineStr"/>
      <c r="K36" s="5">
        <f>売上総利益 − 営業利益 (=粗利−営利)。SG&amp;A項目はSUM参考のみで強制せず</f>
        <v/>
      </c>
    </row>
    <row r="37">
      <c r="A37" s="12" t="inlineStr">
        <is>
          <t xml:space="preserve">　従業員給料</t>
        </is>
      </c>
      <c r="B37" s="13" t="n">
        <v>353</v>
      </c>
      <c r="C37" s="13" t="n">
        <v>381</v>
      </c>
      <c r="D37" s="13" t="n">
        <v>486</v>
      </c>
      <c r="E37" s="13" t="n">
        <v>580</v>
      </c>
      <c r="F37" s="13" t="n">
        <v>670</v>
      </c>
      <c r="G37" s="13" t="n">
        <v>620</v>
      </c>
      <c r="H37" s="13" t="n">
        <v>760</v>
      </c>
      <c r="I37" s="13" t="n">
        <v>950</v>
      </c>
      <c r="J37" s="14" t="inlineStr"/>
      <c r="K37" s="15" t="inlineStr">
        <is>
          <t>yuho販管費注記。FY25+27.6%は新規連結とTWM連結(2025/2)。SaaS人件費は売上に劣後成長</t>
        </is>
      </c>
    </row>
    <row r="38">
      <c r="A38" s="12" t="inlineStr">
        <is>
          <t xml:space="preserve">　役員報酬</t>
        </is>
      </c>
      <c r="B38" s="13" t="n">
        <v>241</v>
      </c>
      <c r="C38" s="13" t="n">
        <v>251</v>
      </c>
      <c r="D38" s="13" t="n">
        <v>256</v>
      </c>
      <c r="E38" s="13" t="n">
        <v>270</v>
      </c>
      <c r="F38" s="13" t="n">
        <v>285</v>
      </c>
      <c r="G38" s="13" t="n">
        <v>280</v>
      </c>
      <c r="H38" s="13" t="n">
        <v>295</v>
      </c>
      <c r="I38" s="13" t="n">
        <v>310</v>
      </c>
      <c r="J38" s="14" t="inlineStr"/>
      <c r="K38" s="15" t="inlineStr">
        <is>
          <t>yuho販管費注記。安定推移</t>
        </is>
      </c>
    </row>
    <row r="39">
      <c r="A39" s="12" t="inlineStr">
        <is>
          <t xml:space="preserve">　地代家賃</t>
        </is>
      </c>
      <c r="B39" s="13" t="n">
        <v>85</v>
      </c>
      <c r="C39" s="13" t="n">
        <v>92</v>
      </c>
      <c r="D39" s="13" t="n">
        <v>85</v>
      </c>
      <c r="E39" s="13" t="n">
        <v>90</v>
      </c>
      <c r="F39" s="13" t="n">
        <v>95</v>
      </c>
      <c r="G39" s="13" t="n">
        <v>95</v>
      </c>
      <c r="H39" s="13" t="n">
        <v>100</v>
      </c>
      <c r="I39" s="13" t="n">
        <v>110</v>
      </c>
      <c r="J39" s="14" t="inlineStr"/>
      <c r="K39" s="15" t="inlineStr">
        <is>
          <t>本社+営業所(7拠点)。FY25は再配置で減</t>
        </is>
      </c>
    </row>
    <row r="40">
      <c r="A40" s="12" t="inlineStr">
        <is>
          <t xml:space="preserve">　法定福利費</t>
        </is>
      </c>
      <c r="B40" s="13" t="n">
        <v>77</v>
      </c>
      <c r="C40" s="13" t="n">
        <v>82</v>
      </c>
      <c r="D40" s="13" t="n">
        <v>99</v>
      </c>
      <c r="E40" s="13" t="n">
        <v>110</v>
      </c>
      <c r="F40" s="13" t="n">
        <v>125</v>
      </c>
      <c r="G40" s="13" t="n">
        <v>120</v>
      </c>
      <c r="H40" s="13" t="n">
        <v>140</v>
      </c>
      <c r="I40" s="13" t="n">
        <v>170</v>
      </c>
      <c r="J40" s="14" t="inlineStr"/>
      <c r="K40" s="15" t="inlineStr">
        <is>
          <t>従業員給料に概ね連動</t>
        </is>
      </c>
    </row>
    <row r="41">
      <c r="A41" s="12" t="inlineStr">
        <is>
          <t xml:space="preserve">　賞与引当金繰入額</t>
        </is>
      </c>
      <c r="B41" s="13" t="n">
        <v>37</v>
      </c>
      <c r="C41" s="13" t="n">
        <v>40</v>
      </c>
      <c r="D41" s="13" t="n">
        <v>51</v>
      </c>
      <c r="E41" s="13" t="n">
        <v>60</v>
      </c>
      <c r="F41" s="13" t="n">
        <v>70</v>
      </c>
      <c r="G41" s="13" t="n">
        <v>65</v>
      </c>
      <c r="H41" s="13" t="n">
        <v>80</v>
      </c>
      <c r="I41" s="13" t="n">
        <v>100</v>
      </c>
      <c r="J41" s="14" t="inlineStr"/>
      <c r="K41" s="15" t="inlineStr">
        <is>
          <t>業績連動。OPM拡大局面で増額</t>
        </is>
      </c>
    </row>
    <row r="42">
      <c r="A42" s="12" t="inlineStr">
        <is>
          <t xml:space="preserve">　減価償却費(販管費分)</t>
        </is>
      </c>
      <c r="B42" s="13" t="n">
        <v>44</v>
      </c>
      <c r="C42" s="13" t="n">
        <v>46</v>
      </c>
      <c r="D42" s="13" t="n">
        <v>47</v>
      </c>
      <c r="E42" s="13" t="n">
        <v>50</v>
      </c>
      <c r="F42" s="13" t="n">
        <v>55</v>
      </c>
      <c r="G42" s="13" t="n">
        <v>55</v>
      </c>
      <c r="H42" s="13" t="n">
        <v>60</v>
      </c>
      <c r="I42" s="13" t="n">
        <v>70</v>
      </c>
      <c r="J42" s="14" t="inlineStr"/>
      <c r="K42" s="15" t="inlineStr">
        <is>
          <t>販管費分のみ。連結全体はB/Sの減価償却費を別途参照</t>
        </is>
      </c>
    </row>
    <row r="43">
      <c r="A43" s="12" t="inlineStr">
        <is>
          <t xml:space="preserve">　貸倒引当金繰入額</t>
        </is>
      </c>
      <c r="B43" s="13" t="n">
        <v>4</v>
      </c>
      <c r="C43" s="13" t="n">
        <v>6</v>
      </c>
      <c r="D43" s="13" t="n">
        <v>1</v>
      </c>
      <c r="E43" s="13" t="n">
        <v>3</v>
      </c>
      <c r="F43" s="13" t="n">
        <v>3</v>
      </c>
      <c r="G43" s="13" t="n">
        <v>3</v>
      </c>
      <c r="H43" s="13" t="n">
        <v>3</v>
      </c>
      <c r="I43" s="13" t="n">
        <v>3</v>
      </c>
      <c r="J43" s="14" t="inlineStr"/>
      <c r="K43" s="15" t="inlineStr">
        <is>
          <t>据え置き(過去レンジ1-6百万)</t>
        </is>
      </c>
    </row>
    <row r="44">
      <c r="A44" s="8" t="inlineStr">
        <is>
          <t xml:space="preserve">　その他販管費(差分)</t>
        </is>
      </c>
      <c r="B44" s="21">
        <f>B36-B37-B38-B39-B40-B41-B42-B43</f>
        <v/>
      </c>
      <c r="C44" s="21">
        <f>C36-C37-C38-C39-C40-C41-C42-C43</f>
        <v/>
      </c>
      <c r="D44" s="21">
        <f>D36-D37-D38-D39-D40-D41-D42-D43</f>
        <v/>
      </c>
      <c r="E44" s="21">
        <f>E36-E37-E38-E39-E40-E41-E42-E43</f>
        <v/>
      </c>
      <c r="F44" s="21">
        <f>F36-F37-F38-F39-F40-F41-F42-F43</f>
        <v/>
      </c>
      <c r="G44" s="21">
        <f>G36-G37-G38-G39-G40-G41-G42-G43</f>
        <v/>
      </c>
      <c r="H44" s="21">
        <f>H36-H37-H38-H39-H40-H41-H42-H43</f>
        <v/>
      </c>
      <c r="I44" s="21">
        <f>I36-I37-I38-I39-I40-I41-I42-I43</f>
        <v/>
      </c>
      <c r="J44" s="10" t="inlineStr"/>
      <c r="K44" s="11">
        <f>販管費合計 − 上記7項目のSUM。外注費/広告/業務委託等</f>
        <v/>
      </c>
    </row>
    <row r="46">
      <c r="A46" s="3" t="inlineStr">
        <is>
          <t>【利益】</t>
        </is>
      </c>
      <c r="J46" s="4" t="inlineStr"/>
      <c r="K46" s="5" t="inlineStr"/>
    </row>
    <row r="47">
      <c r="A47" s="12" t="inlineStr">
        <is>
          <t xml:space="preserve">　営業利益率</t>
        </is>
      </c>
      <c r="B47" s="20" t="n">
        <v>0.2926</v>
      </c>
      <c r="C47" s="20" t="n">
        <v>0.2874</v>
      </c>
      <c r="D47" s="20" t="n">
        <v>0.2922</v>
      </c>
      <c r="E47" s="20" t="n">
        <v>0.3228</v>
      </c>
      <c r="F47" s="20" t="n">
        <v>0.33</v>
      </c>
      <c r="G47" s="20" t="n">
        <v>0.3</v>
      </c>
      <c r="H47" s="20" t="n">
        <v>0.34</v>
      </c>
      <c r="I47" s="20" t="n">
        <v>0.37</v>
      </c>
      <c r="J47" s="14" t="inlineStr">
        <is>
          <t>★★</t>
        </is>
      </c>
      <c r="K47" s="15" t="inlineStr">
        <is>
          <t>FY23-25は actual_営利/actual_売上。Vision 2035で2030年33-35%目標、FY28 Base 34%は妥当</t>
        </is>
      </c>
    </row>
    <row r="48">
      <c r="A48" s="6" t="inlineStr">
        <is>
          <t>営業利益</t>
        </is>
      </c>
      <c r="B48" s="7">
        <f>B3*B47</f>
        <v/>
      </c>
      <c r="C48" s="7">
        <f>C3*C47</f>
        <v/>
      </c>
      <c r="D48" s="7">
        <f>D3*D47</f>
        <v/>
      </c>
      <c r="E48" s="7">
        <f>E3*E47</f>
        <v/>
      </c>
      <c r="F48" s="7">
        <f>F3*F47</f>
        <v/>
      </c>
      <c r="G48" s="7">
        <f>G3*G47</f>
        <v/>
      </c>
      <c r="H48" s="7">
        <f>H3*H47</f>
        <v/>
      </c>
      <c r="I48" s="7">
        <f>I3*I47</f>
        <v/>
      </c>
      <c r="J48" s="4" t="inlineStr"/>
      <c r="K48" s="5">
        <f>売上高 × 営業利益率</f>
        <v/>
      </c>
    </row>
    <row r="49">
      <c r="A49" s="12" t="inlineStr">
        <is>
          <t xml:space="preserve">　営業外損益(純)</t>
        </is>
      </c>
      <c r="B49" s="13" t="n">
        <v>11</v>
      </c>
      <c r="C49" s="13" t="n">
        <v>9</v>
      </c>
      <c r="D49" s="13" t="n">
        <v>6</v>
      </c>
      <c r="E49" s="13" t="n">
        <v>5</v>
      </c>
      <c r="F49" s="13" t="n">
        <v>5</v>
      </c>
      <c r="G49" s="13" t="n">
        <v>5</v>
      </c>
      <c r="H49" s="13" t="n">
        <v>5</v>
      </c>
      <c r="I49" s="13" t="n">
        <v>5</v>
      </c>
      <c r="J49" s="14" t="inlineStr"/>
      <c r="K49" s="15" t="inlineStr">
        <is>
          <t>受取利息/手数料等。安定して+5〜10百万円</t>
        </is>
      </c>
    </row>
    <row r="50">
      <c r="A50" s="6" t="inlineStr">
        <is>
          <t>経常利益</t>
        </is>
      </c>
      <c r="B50" s="7">
        <f>B48+B49</f>
        <v/>
      </c>
      <c r="C50" s="7">
        <f>C48+C49</f>
        <v/>
      </c>
      <c r="D50" s="7">
        <f>D48+D49</f>
        <v/>
      </c>
      <c r="E50" s="7">
        <f>E48+E49</f>
        <v/>
      </c>
      <c r="F50" s="7">
        <f>F48+F49</f>
        <v/>
      </c>
      <c r="G50" s="7">
        <f>G48+G49</f>
        <v/>
      </c>
      <c r="H50" s="7">
        <f>H48+H49</f>
        <v/>
      </c>
      <c r="I50" s="7">
        <f>I48+I49</f>
        <v/>
      </c>
      <c r="J50" s="4" t="inlineStr"/>
      <c r="K50" s="5">
        <f>営業利益 + 営業外損益(純)</f>
        <v/>
      </c>
    </row>
    <row r="51">
      <c r="A51" s="6" t="inlineStr">
        <is>
          <t>税金等調整前純利益</t>
        </is>
      </c>
      <c r="B51" s="7">
        <f>B50</f>
        <v/>
      </c>
      <c r="C51" s="7">
        <f>C50</f>
        <v/>
      </c>
      <c r="D51" s="7">
        <f>D50</f>
        <v/>
      </c>
      <c r="E51" s="7">
        <f>E50</f>
        <v/>
      </c>
      <c r="F51" s="7">
        <f>F50</f>
        <v/>
      </c>
      <c r="G51" s="7">
        <f>G50</f>
        <v/>
      </c>
      <c r="H51" s="7">
        <f>H50</f>
        <v/>
      </c>
      <c r="I51" s="7">
        <f>I50</f>
        <v/>
      </c>
      <c r="J51" s="4" t="inlineStr"/>
      <c r="K51" s="5">
        <f>経常利益 (FY24は特別損失104百万で経常から減少、参考値1,352)</f>
        <v/>
      </c>
    </row>
    <row r="52">
      <c r="A52" s="12" t="inlineStr">
        <is>
          <t xml:space="preserve">　実効税率</t>
        </is>
      </c>
      <c r="B52" s="20" t="n">
        <v>0.3088</v>
      </c>
      <c r="C52" s="20" t="n">
        <v>0.3198</v>
      </c>
      <c r="D52" s="20" t="n">
        <v>0.3108</v>
      </c>
      <c r="E52" s="20" t="n">
        <v>0.3</v>
      </c>
      <c r="F52" s="20" t="n">
        <v>0.3</v>
      </c>
      <c r="G52" s="20" t="n">
        <v>0.3</v>
      </c>
      <c r="H52" s="20" t="n">
        <v>0.3</v>
      </c>
      <c r="I52" s="20" t="n">
        <v>0.3</v>
      </c>
      <c r="J52" s="14" t="inlineStr"/>
      <c r="K52" s="15" t="inlineStr">
        <is>
          <t>FY23-25 actual 30.9-32.0%。法定実効税率約30%。FY26+は30%固定</t>
        </is>
      </c>
    </row>
    <row r="53">
      <c r="A53" s="6" t="inlineStr">
        <is>
          <t>法人税等</t>
        </is>
      </c>
      <c r="B53" s="7">
        <f>B51*B52</f>
        <v/>
      </c>
      <c r="C53" s="7">
        <f>C51*C52</f>
        <v/>
      </c>
      <c r="D53" s="7">
        <f>D51*D52</f>
        <v/>
      </c>
      <c r="E53" s="7">
        <f>E51*E52</f>
        <v/>
      </c>
      <c r="F53" s="7">
        <f>F51*F52</f>
        <v/>
      </c>
      <c r="G53" s="7">
        <f>G51*G52</f>
        <v/>
      </c>
      <c r="H53" s="7">
        <f>H51*H52</f>
        <v/>
      </c>
      <c r="I53" s="7">
        <f>I51*I52</f>
        <v/>
      </c>
      <c r="J53" s="4" t="inlineStr"/>
      <c r="K53" s="5">
        <f>税前 × 実効税率</f>
        <v/>
      </c>
    </row>
    <row r="54">
      <c r="A54" s="6" t="inlineStr">
        <is>
          <t>親会社株主帰属純利益</t>
        </is>
      </c>
      <c r="B54" s="7">
        <f>B51-B53</f>
        <v/>
      </c>
      <c r="C54" s="7">
        <f>C51-C53</f>
        <v/>
      </c>
      <c r="D54" s="7">
        <f>D51-D53</f>
        <v/>
      </c>
      <c r="E54" s="7">
        <f>E51-E53</f>
        <v/>
      </c>
      <c r="F54" s="7">
        <f>F51-F53</f>
        <v/>
      </c>
      <c r="G54" s="7">
        <f>G51-G53</f>
        <v/>
      </c>
      <c r="H54" s="7">
        <f>H51-H53</f>
        <v/>
      </c>
      <c r="I54" s="7">
        <f>I51-I53</f>
        <v/>
      </c>
      <c r="J54" s="4" t="inlineStr"/>
      <c r="K54" s="5">
        <f>税前 − 法人税等。FY26会社予想は1,370(28.5円)、ほぼ一致</f>
        <v/>
      </c>
    </row>
    <row r="56">
      <c r="A56" s="3" t="inlineStr">
        <is>
          <t>【補助KPI: SaaS指標】</t>
        </is>
      </c>
      <c r="J56" s="4" t="inlineStr"/>
      <c r="K56" s="5" t="inlineStr"/>
    </row>
    <row r="57">
      <c r="A57" s="16" t="inlineStr">
        <is>
          <t>導入地域数(期末)</t>
        </is>
      </c>
      <c r="B57" s="17" t="n">
        <v>1270</v>
      </c>
      <c r="C57" s="17" t="n">
        <v>1320</v>
      </c>
      <c r="D57" s="17" t="n">
        <v>1397</v>
      </c>
      <c r="E57" s="17" t="n">
        <v>1440</v>
      </c>
      <c r="F57" s="17" t="n">
        <v>1490</v>
      </c>
      <c r="G57" s="17" t="n">
        <v>1460</v>
      </c>
      <c r="H57" s="17" t="n">
        <v>1510</v>
      </c>
      <c r="I57" s="17" t="n">
        <v>1580</v>
      </c>
      <c r="J57" s="18" t="inlineStr"/>
      <c r="K57" s="19" t="inlineStr">
        <is>
          <t>決算説明資料1-7。中学校区(人口3万人圏)単位。FY26 2Q時点1,420地域</t>
        </is>
      </c>
    </row>
    <row r="58">
      <c r="A58" s="16" t="inlineStr">
        <is>
          <t>無料ユーザーID数(期末)</t>
        </is>
      </c>
      <c r="B58" s="17" t="n">
        <v>86760</v>
      </c>
      <c r="C58" s="17" t="n">
        <v>101309</v>
      </c>
      <c r="D58" s="17" t="n">
        <v>117497</v>
      </c>
      <c r="E58" s="17" t="n">
        <v>135000</v>
      </c>
      <c r="F58" s="17" t="n">
        <v>152000</v>
      </c>
      <c r="G58" s="17" t="n">
        <v>145000</v>
      </c>
      <c r="H58" s="17" t="n">
        <v>158000</v>
      </c>
      <c r="I58" s="17" t="n">
        <v>175000</v>
      </c>
      <c r="J58" s="18" t="inlineStr"/>
      <c r="K58" s="19" t="inlineStr">
        <is>
          <t>無料→有料転換のパイプライン。介護情報基盤稼働で増加加速可能性</t>
        </is>
      </c>
    </row>
    <row r="59">
      <c r="A59" s="6" t="inlineStr">
        <is>
          <t>ユーザーID合計</t>
        </is>
      </c>
      <c r="B59" s="7">
        <f>B15+B58</f>
        <v/>
      </c>
      <c r="C59" s="7">
        <f>C15+C58</f>
        <v/>
      </c>
      <c r="D59" s="7">
        <f>D15+D58</f>
        <v/>
      </c>
      <c r="E59" s="7">
        <f>E15+E58</f>
        <v/>
      </c>
      <c r="F59" s="7">
        <f>F15+F58</f>
        <v/>
      </c>
      <c r="G59" s="7">
        <f>G15+G58</f>
        <v/>
      </c>
      <c r="H59" s="7">
        <f>H15+H58</f>
        <v/>
      </c>
      <c r="I59" s="7">
        <f>I15+I58</f>
        <v/>
      </c>
      <c r="J59" s="4" t="inlineStr"/>
      <c r="K59" s="5">
        <f>有料ユーザーID + 無料ユーザーID</f>
        <v/>
      </c>
    </row>
    <row r="60">
      <c r="A60" s="6" t="inlineStr">
        <is>
          <t>EBITDA(連結減価償却足戻し)</t>
        </is>
      </c>
      <c r="B60" s="7">
        <f>B48+B61</f>
        <v/>
      </c>
      <c r="C60" s="7">
        <f>C48+C61</f>
        <v/>
      </c>
      <c r="D60" s="7">
        <f>D48+D61</f>
        <v/>
      </c>
      <c r="E60" s="7">
        <f>E48+E61</f>
        <v/>
      </c>
      <c r="F60" s="7">
        <f>F48+F61</f>
        <v/>
      </c>
      <c r="G60" s="7">
        <f>G48+G61</f>
        <v/>
      </c>
      <c r="H60" s="7">
        <f>H48+H61</f>
        <v/>
      </c>
      <c r="I60" s="7">
        <f>I48+I61</f>
        <v/>
      </c>
      <c r="J60" s="4" t="inlineStr"/>
      <c r="K60" s="5">
        <f>営業利益 + 連結減価償却費</f>
        <v/>
      </c>
    </row>
    <row r="61">
      <c r="A61" s="16" t="inlineStr">
        <is>
          <t>連結減価償却費(全体、参考)</t>
        </is>
      </c>
      <c r="B61" s="17" t="n">
        <v>268</v>
      </c>
      <c r="C61" s="17" t="n">
        <v>301</v>
      </c>
      <c r="D61" s="17" t="n">
        <v>332</v>
      </c>
      <c r="E61" s="17" t="n">
        <v>450</v>
      </c>
      <c r="F61" s="17" t="n">
        <v>524</v>
      </c>
      <c r="G61" s="17" t="n">
        <v>450</v>
      </c>
      <c r="H61" s="17" t="n">
        <v>550</v>
      </c>
      <c r="I61" s="17" t="n">
        <v>663</v>
      </c>
      <c r="J61" s="18" t="inlineStr"/>
      <c r="K61" s="19" t="inlineStr">
        <is>
          <t>B/S(連結CF表)。販管費分+原価分の合計。FY25は332百万</t>
        </is>
      </c>
    </row>
    <row r="63">
      <c r="A63" s="3" t="inlineStr">
        <is>
          <t>【株価・PER感応度】</t>
        </is>
      </c>
      <c r="J63" s="4" t="inlineStr"/>
      <c r="K63" s="5" t="inlineStr"/>
    </row>
    <row r="64">
      <c r="A64" s="16" t="inlineStr">
        <is>
          <t>発行済株式数(千株)</t>
        </is>
      </c>
      <c r="B64" s="17" t="n">
        <v>48132</v>
      </c>
      <c r="C64" s="17" t="n">
        <v>48132</v>
      </c>
      <c r="D64" s="17" t="n">
        <v>48132</v>
      </c>
      <c r="E64" s="17" t="n">
        <v>48132</v>
      </c>
      <c r="F64" s="17" t="n">
        <v>48132</v>
      </c>
      <c r="G64" s="17" t="n">
        <v>48132</v>
      </c>
      <c r="H64" s="17" t="n">
        <v>48132</v>
      </c>
      <c r="I64" s="17" t="n">
        <v>48132</v>
      </c>
      <c r="J64" s="18" t="inlineStr"/>
      <c r="K64" s="19" t="inlineStr">
        <is>
          <t>yuho開示。直近5年48,132千株で据置(自己株消却・新株発行なし)。EPS算定上は期中平均≒47,460(自己株差)だが簡略化のため期末で固定</t>
        </is>
      </c>
    </row>
    <row r="65">
      <c r="A65" s="6" t="inlineStr">
        <is>
          <t>EPS(円)</t>
        </is>
      </c>
      <c r="B65" s="23">
        <f>B54*1000/B64</f>
        <v/>
      </c>
      <c r="C65" s="23">
        <f>C54*1000/C64</f>
        <v/>
      </c>
      <c r="D65" s="23">
        <f>D54*1000/D64</f>
        <v/>
      </c>
      <c r="E65" s="23">
        <f>E54*1000/E64</f>
        <v/>
      </c>
      <c r="F65" s="23">
        <f>F54*1000/F64</f>
        <v/>
      </c>
      <c r="G65" s="23">
        <f>G54*1000/G64</f>
        <v/>
      </c>
      <c r="H65" s="23">
        <f>H54*1000/H64</f>
        <v/>
      </c>
      <c r="I65" s="23">
        <f>I54*1000/I64</f>
        <v/>
      </c>
      <c r="J65" s="4" t="inlineStr"/>
      <c r="K65" s="5">
        <f>純利益 × 1,000 ÷ 発行済株式数(千株)。FY28 Base 40.1円 ≒ ストーリー40.0円</f>
        <v/>
      </c>
    </row>
    <row r="66">
      <c r="A66" s="12" t="inlineStr">
        <is>
          <t xml:space="preserve">　想定PER ベスト(Bull)</t>
        </is>
      </c>
      <c r="B66" s="22" t="n"/>
      <c r="C66" s="22" t="n"/>
      <c r="D66" s="22" t="n"/>
      <c r="E66" s="22" t="n"/>
      <c r="F66" s="22" t="n"/>
      <c r="G66" s="22" t="n"/>
      <c r="H66" s="22" t="n"/>
      <c r="I66" s="22" t="n">
        <v>22</v>
      </c>
      <c r="J66" s="14" t="inlineStr"/>
      <c r="K66" s="15" t="inlineStr">
        <is>
          <t>Bullシナリオ:AI浸透確認でプレミアム。SaaS OPM30%超で18-25倍が相場、+α</t>
        </is>
      </c>
    </row>
    <row r="67">
      <c r="A67" s="12" t="inlineStr">
        <is>
          <t xml:space="preserve">　想定PER ノーマル(Base)</t>
        </is>
      </c>
      <c r="B67" s="22" t="n"/>
      <c r="C67" s="22" t="n"/>
      <c r="D67" s="22" t="n"/>
      <c r="E67" s="22" t="n"/>
      <c r="F67" s="22" t="n"/>
      <c r="G67" s="22" t="n"/>
      <c r="H67" s="22" t="n">
        <v>19</v>
      </c>
      <c r="I67" s="22" t="n"/>
      <c r="J67" s="14" t="inlineStr"/>
      <c r="K67" s="15" t="inlineStr">
        <is>
          <t>Baseシナリオ:現状PER(19.3倍)維持。SaaS中央値かつカナミック直近の典型水準</t>
        </is>
      </c>
    </row>
    <row r="68">
      <c r="A68" s="12" t="inlineStr">
        <is>
          <t xml:space="preserve">　想定PER ワースト(Bear)</t>
        </is>
      </c>
      <c r="B68" s="22" t="n"/>
      <c r="C68" s="22" t="n"/>
      <c r="D68" s="22" t="n"/>
      <c r="E68" s="22" t="n"/>
      <c r="F68" s="22" t="n"/>
      <c r="G68" s="22" t="n">
        <v>16</v>
      </c>
      <c r="H68" s="22" t="n"/>
      <c r="I68" s="22" t="n"/>
      <c r="J68" s="14" t="inlineStr"/>
      <c r="K68" s="15" t="inlineStr">
        <is>
          <t>Bearシナリオ:AI浸透遅延でディスカウント。過去レンジ下限14.9倍に若干上乗せ</t>
        </is>
      </c>
    </row>
    <row r="69">
      <c r="A69" s="6" t="inlineStr">
        <is>
          <t>目標株価 Bull(円)</t>
        </is>
      </c>
      <c r="B69" s="7" t="n"/>
      <c r="C69" s="7" t="n"/>
      <c r="D69" s="7" t="n"/>
      <c r="E69" s="7" t="n"/>
      <c r="F69" s="7" t="n"/>
      <c r="G69" s="7" t="n"/>
      <c r="H69" s="7" t="n"/>
      <c r="I69" s="7">
        <f>I65*I66</f>
        <v/>
      </c>
      <c r="J69" s="4" t="inlineStr"/>
      <c r="K69" s="5">
        <f>FY28 Bull EPS × Bull想定PER。Bull EPS 54.5 × 22倍 ≒ 1,199円(現値+118%)</f>
        <v/>
      </c>
    </row>
    <row r="70">
      <c r="A70" s="6" t="inlineStr">
        <is>
          <t>目標株価 Base(円)</t>
        </is>
      </c>
      <c r="B70" s="7" t="n"/>
      <c r="C70" s="7" t="n"/>
      <c r="D70" s="7" t="n"/>
      <c r="E70" s="7" t="n"/>
      <c r="F70" s="7" t="n"/>
      <c r="G70" s="7" t="n"/>
      <c r="H70" s="7">
        <f>H65*H67</f>
        <v/>
      </c>
      <c r="I70" s="7" t="n"/>
      <c r="J70" s="4" t="inlineStr"/>
      <c r="K70" s="5">
        <f>FY28 Base EPS × Base想定PER。Base EPS 40.1 × 19倍 ≒ 762円(現値+38%)</f>
        <v/>
      </c>
    </row>
    <row r="71">
      <c r="A71" s="6" t="inlineStr">
        <is>
          <t>目標株価 Bear(円)</t>
        </is>
      </c>
      <c r="B71" s="7" t="n"/>
      <c r="C71" s="7" t="n"/>
      <c r="D71" s="7" t="n"/>
      <c r="E71" s="7" t="n"/>
      <c r="F71" s="7" t="n"/>
      <c r="G71" s="7">
        <f>G65*G68</f>
        <v/>
      </c>
      <c r="H71" s="7" t="n"/>
      <c r="I71" s="7" t="n"/>
      <c r="J71" s="4" t="inlineStr"/>
      <c r="K71" s="5">
        <f>FY28 Bear EPS × Bear想定PER。Bear EPS 28.5 × 16倍 ≒ 455円(現値-17%)</f>
        <v/>
      </c>
    </row>
    <row r="73">
      <c r="A73" s="3" t="inlineStr">
        <is>
          <t>【「織り込み済み?」反論】</t>
        </is>
      </c>
      <c r="J73" s="4" t="inlineStr"/>
      <c r="K73" s="5" t="inlineStr"/>
    </row>
    <row r="74">
      <c r="A74" s="16" t="inlineStr">
        <is>
          <t>時価総額(百万円、現値据置)</t>
        </is>
      </c>
      <c r="B74" s="17" t="n">
        <v>26473</v>
      </c>
      <c r="C74" s="17" t="n">
        <v>26473</v>
      </c>
      <c r="D74" s="17" t="n">
        <v>26473</v>
      </c>
      <c r="E74" s="17" t="n">
        <v>26473</v>
      </c>
      <c r="F74" s="17" t="n">
        <v>26473</v>
      </c>
      <c r="G74" s="17" t="n">
        <v>26473</v>
      </c>
      <c r="H74" s="17" t="n">
        <v>26473</v>
      </c>
      <c r="I74" s="17" t="n">
        <v>26473</v>
      </c>
      <c r="J74" s="18" t="inlineStr"/>
      <c r="K74" s="19" t="inlineStr">
        <is>
          <t>2026/5/13株価550円 × 48,132千株 = 26,473百万円で全期間固定</t>
        </is>
      </c>
    </row>
    <row r="75">
      <c r="A75" s="8" t="inlineStr">
        <is>
          <t xml:space="preserve">　連結純利益 Base(再掲)</t>
        </is>
      </c>
      <c r="B75" s="21">
        <f>B54</f>
        <v/>
      </c>
      <c r="C75" s="21">
        <f>C54</f>
        <v/>
      </c>
      <c r="D75" s="21">
        <f>D54</f>
        <v/>
      </c>
      <c r="E75" s="21">
        <f>E54</f>
        <v/>
      </c>
      <c r="F75" s="21">
        <f>F54</f>
        <v/>
      </c>
      <c r="G75" s="21">
        <f>G54</f>
        <v/>
      </c>
      <c r="H75" s="21">
        <f>H54</f>
        <v/>
      </c>
      <c r="I75" s="21">
        <f>I54</f>
        <v/>
      </c>
      <c r="J75" s="10" t="inlineStr"/>
      <c r="K75" s="11">
        <f>親会社株主帰属純利益(上記P&amp;Lより再掲)</f>
        <v/>
      </c>
    </row>
    <row r="76">
      <c r="A76" s="8" t="inlineStr">
        <is>
          <t xml:space="preserve">　時価総額据置PER(倍)</t>
        </is>
      </c>
      <c r="B76" s="24">
        <f>B74/B54</f>
        <v/>
      </c>
      <c r="C76" s="24">
        <f>C74/C54</f>
        <v/>
      </c>
      <c r="D76" s="24">
        <f>D74/D54</f>
        <v/>
      </c>
      <c r="E76" s="24">
        <f>E74/E54</f>
        <v/>
      </c>
      <c r="F76" s="24">
        <f>F74/F54</f>
        <v/>
      </c>
      <c r="G76" s="24">
        <f>G74/G54</f>
        <v/>
      </c>
      <c r="H76" s="24">
        <f>H74/H54</f>
        <v/>
      </c>
      <c r="I76" s="24">
        <f>I74/I54</f>
        <v/>
      </c>
      <c r="J76" s="10" t="inlineStr"/>
      <c r="K76" s="11">
        <f>時価総額 ÷ 純利益。株価据置で利益増ならPER低下→現値に純利益成長は織込まれていない</f>
        <v/>
      </c>
    </row>
    <row r="78">
      <c r="A78" s="3" t="inlineStr">
        <is>
          <t>【ピア比較(PER) ※純粋同業未上場、多軸選定】</t>
        </is>
      </c>
      <c r="J78" s="4" t="inlineStr"/>
      <c r="K78" s="5" t="inlineStr"/>
    </row>
    <row r="79">
      <c r="A79" s="16" t="inlineStr">
        <is>
          <t>カナミック(3939) 現状PER</t>
        </is>
      </c>
      <c r="B79" s="25" t="n"/>
      <c r="C79" s="25" t="n"/>
      <c r="D79" s="25" t="n"/>
      <c r="E79" s="25" t="n">
        <v>19.3</v>
      </c>
      <c r="F79" s="25" t="n"/>
      <c r="G79" s="25" t="n"/>
      <c r="H79" s="25" t="n"/>
      <c r="I79" s="25" t="n"/>
      <c r="J79" s="18" t="inlineStr"/>
      <c r="K79" s="19" t="inlineStr">
        <is>
          <t>株価550円 ÷ FY26予EPS 28.46円 ≒ 19.3倍(2026/5/13)</t>
        </is>
      </c>
    </row>
    <row r="80">
      <c r="A80" s="12" t="inlineStr">
        <is>
          <t xml:space="preserve">　ピア① エス・エム・エス(2175)</t>
        </is>
      </c>
      <c r="B80" s="13" t="n"/>
      <c r="C80" s="13" t="n"/>
      <c r="D80" s="13" t="n"/>
      <c r="E80" s="13" t="inlineStr">
        <is>
          <t>TODO</t>
        </is>
      </c>
      <c r="F80" s="13" t="n"/>
      <c r="G80" s="13" t="n"/>
      <c r="H80" s="13" t="n"/>
      <c r="I80" s="13" t="n"/>
      <c r="J80" s="14" t="inlineStr"/>
      <c r="K80" s="15" t="inlineStr">
        <is>
          <t>医療介護領域のヘルスケアSaaS+人材PF。軸:同業界(介護DX)。直近実績PERをIR確認推奨</t>
        </is>
      </c>
    </row>
    <row r="81">
      <c r="A81" s="12" t="inlineStr">
        <is>
          <t xml:space="preserve">　ピア② ラクス(3923)</t>
        </is>
      </c>
      <c r="B81" s="13" t="n"/>
      <c r="C81" s="13" t="n"/>
      <c r="D81" s="13" t="n"/>
      <c r="E81" s="13" t="inlineStr">
        <is>
          <t>TODO</t>
        </is>
      </c>
      <c r="F81" s="13" t="n"/>
      <c r="G81" s="13" t="n"/>
      <c r="H81" s="13" t="n"/>
      <c r="I81" s="13" t="n"/>
      <c r="J81" s="14" t="inlineStr"/>
      <c r="K81" s="15" t="inlineStr">
        <is>
          <t>中小事業者向け低単価SaaS(楽楽精算等)。軸:ビジネスモデル類似(低単価高浸透)。高成長SaaSプレミアム参考</t>
        </is>
      </c>
    </row>
    <row r="82">
      <c r="A82" s="12" t="inlineStr">
        <is>
          <t xml:space="preserve">　ピア③ JMDC(4483)</t>
        </is>
      </c>
      <c r="B82" s="13" t="n"/>
      <c r="C82" s="13" t="n"/>
      <c r="D82" s="13" t="n"/>
      <c r="E82" s="13" t="inlineStr">
        <is>
          <t>TODO</t>
        </is>
      </c>
      <c r="F82" s="13" t="n"/>
      <c r="G82" s="13" t="n"/>
      <c r="H82" s="13" t="n"/>
      <c r="I82" s="13" t="n"/>
      <c r="J82" s="14" t="inlineStr"/>
      <c r="K82" s="15" t="inlineStr">
        <is>
          <t>医療データプラットフォーム。軸:制度受益(医療DX政策・基盤)+データMoat</t>
        </is>
      </c>
    </row>
    <row r="83">
      <c r="A83" s="12" t="inlineStr">
        <is>
          <t xml:space="preserve">　ピア中央値(参考)</t>
        </is>
      </c>
      <c r="B83" s="13" t="n"/>
      <c r="C83" s="13" t="n"/>
      <c r="D83" s="13" t="n"/>
      <c r="E83" s="13" t="inlineStr">
        <is>
          <t>TODO</t>
        </is>
      </c>
      <c r="F83" s="13" t="n"/>
      <c r="G83" s="13" t="n"/>
      <c r="H83" s="13" t="n"/>
      <c r="I83" s="13" t="n"/>
      <c r="J83" s="14" t="inlineStr"/>
      <c r="K83" s="15" t="inlineStr">
        <is>
          <t>プライム情報通信SaaS(OPM30%超・増益率20%超)のPER相場18-25倍を参考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2026-05-19T03:00:33Z</dcterms:created>
  <dcterms:modified xmlns:dcterms="http://purl.org/dc/terms/" xmlns:xsi="http://www.w3.org/2001/XMLSchema-instance" xsi:type="dcterms:W3CDTF">2026-05-19T03:00:33Z</dcterms:modified>
</cp:coreProperties>
</file>