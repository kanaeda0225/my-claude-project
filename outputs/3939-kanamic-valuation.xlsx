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939_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  <sz val="11"/>
    </font>
    <font>
      <b val="1"/>
      <color rgb="00000000"/>
    </font>
    <font>
      <color rgb="00000000"/>
      <sz val="11"/>
    </font>
    <font>
      <color rgb="00000000"/>
    </font>
    <font>
      <b val="1"/>
      <color rgb="001F4E78"/>
      <sz val="11"/>
    </font>
    <font>
      <b val="1"/>
      <color rgb="001F4E78"/>
    </font>
    <font>
      <color rgb="001F4E78"/>
      <sz val="11"/>
    </font>
    <font>
      <color rgb="001F4E78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3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" fontId="7" fillId="0" borderId="0" applyAlignment="1" pivotButton="0" quotePrefix="0" xfId="0">
      <alignment horizontal="right" vertical="center"/>
    </xf>
    <xf numFmtId="2" fontId="3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売上・粗利・営業利益 と OPM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'3939_valuation'!A3</f>
            </strRef>
          </tx>
          <spPr>
            <a:ln>
              <a:prstDash val="solid"/>
            </a:ln>
          </spPr>
          <cat>
            <numRef>
              <f>'3939_valuation'!$B$1:$I$1</f>
            </numRef>
          </cat>
          <val>
            <numRef>
              <f>'3939_valuation'!$B$3:$I$3</f>
            </numRef>
          </val>
        </ser>
        <ser>
          <idx val="1"/>
          <order val="1"/>
          <tx>
            <strRef>
              <f>'3939_valuation'!A31</f>
            </strRef>
          </tx>
          <spPr>
            <a:ln>
              <a:prstDash val="solid"/>
            </a:ln>
          </spPr>
          <cat>
            <numRef>
              <f>'3939_valuation'!$B$1:$I$1</f>
            </numRef>
          </cat>
          <val>
            <numRef>
              <f>'3939_valuation'!$B$31:$I$31</f>
            </numRef>
          </val>
        </ser>
        <ser>
          <idx val="2"/>
          <order val="2"/>
          <tx>
            <strRef>
              <f>'3939_valuation'!A46</f>
            </strRef>
          </tx>
          <spPr>
            <a:ln>
              <a:prstDash val="solid"/>
            </a:ln>
          </spPr>
          <cat>
            <numRef>
              <f>'3939_valuation'!$B$1:$I$1</f>
            </numRef>
          </cat>
          <val>
            <numRef>
              <f>'3939_valuation'!$B$46:$I$46</f>
            </numRef>
          </val>
        </ser>
        <gapWidth val="150"/>
        <axId val="10"/>
        <axId val="100"/>
      </barChart>
      <lineChart>
        <grouping val="standard"/>
        <ser>
          <idx val="3"/>
          <order val="3"/>
          <tx>
            <strRef>
              <f>'3939_valuation'!A47</f>
            </strRef>
          </tx>
          <spPr>
            <a:ln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val>
            <numRef>
              <f>'3939_valuation'!$B$47:$I$47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金額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比率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有料ユーザー数 と 月額ARPU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'3939_valuation'!A15</f>
            </strRef>
          </tx>
          <spPr>
            <a:ln>
              <a:prstDash val="solid"/>
            </a:ln>
          </spPr>
          <cat>
            <numRef>
              <f>'3939_valuation'!$B$1:$I$1</f>
            </numRef>
          </cat>
          <val>
            <numRef>
              <f>'3939_valuation'!$B$15:$I$15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'3939_valuation'!A17</f>
            </strRef>
          </tx>
          <spPr>
            <a:ln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val>
            <numRef>
              <f>'3939_valuation'!$B$17:$I$17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金額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比率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セグメント別売上(積上げ視覚)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'3939_valuation'!A7</f>
            </strRef>
          </tx>
          <spPr>
            <a:ln>
              <a:prstDash val="solid"/>
            </a:ln>
          </spPr>
          <cat>
            <numRef>
              <f>'3939_valuation'!$B$1:$I$1</f>
            </numRef>
          </cat>
          <val>
            <numRef>
              <f>'3939_valuation'!$B$7:$I$7</f>
            </numRef>
          </val>
        </ser>
        <ser>
          <idx val="1"/>
          <order val="1"/>
          <tx>
            <strRef>
              <f>'3939_valuation'!A11</f>
            </strRef>
          </tx>
          <spPr>
            <a:ln>
              <a:prstDash val="solid"/>
            </a:ln>
          </spPr>
          <cat>
            <numRef>
              <f>'3939_valuation'!$B$1:$I$1</f>
            </numRef>
          </cat>
          <val>
            <numRef>
              <f>'3939_valuation'!$B$11:$I$11</f>
            </numRef>
          </val>
        </ser>
        <ser>
          <idx val="2"/>
          <order val="2"/>
          <tx>
            <strRef>
              <f>'3939_valuation'!A12</f>
            </strRef>
          </tx>
          <spPr>
            <a:ln>
              <a:prstDash val="solid"/>
            </a:ln>
          </spPr>
          <cat>
            <numRef>
              <f>'3939_valuation'!$B$1:$I$1</f>
            </numRef>
          </cat>
          <val>
            <numRef>
              <f>'3939_valuation'!$B$12:$I$12</f>
            </numRef>
          </val>
        </ser>
        <gapWidth val="150"/>
        <axId val="10"/>
        <axId val="100"/>
      </barChart>
      <lineChart>
        <grouping val="standard"/>
        <ser>
          <idx val="3"/>
          <order val="3"/>
          <tx>
            <strRef>
              <f>'3939_valuation'!A4</f>
            </strRef>
          </tx>
          <spPr>
            <a:ln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val>
            <numRef>
              <f>'3939_valuation'!$B$4:$I$4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金額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比率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時価総額据置PERの低下 (織り込み済み反論)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'3939_valuation'!A73</f>
            </strRef>
          </tx>
          <spPr>
            <a:ln>
              <a:prstDash val="solid"/>
            </a:ln>
          </spPr>
          <cat>
            <numRef>
              <f>'3939_valuation'!$B$1:$I$1</f>
            </numRef>
          </cat>
          <val>
            <numRef>
              <f>'3939_valuation'!$B$73:$I$73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'3939_valuation'!A74</f>
            </strRef>
          </tx>
          <spPr>
            <a:ln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val>
            <numRef>
              <f>'3939_valuation'!$B$74:$I$74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金額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比率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21</row>
      <rowOff>0</rowOff>
    </from>
    <ext cx="792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41</row>
      <rowOff>0</rowOff>
    </from>
    <ext cx="792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61</row>
      <rowOff>0</rowOff>
    </from>
    <ext cx="792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従属変数=黒、独立変数=青</t>
        </is>
      </c>
      <c r="B1" s="2" t="inlineStr">
        <is>
          <t>FY23/9 実</t>
        </is>
      </c>
      <c r="C1" s="2" t="inlineStr">
        <is>
          <t>FY24/9 実</t>
        </is>
      </c>
      <c r="D1" s="2" t="inlineStr">
        <is>
          <t>FY25/9 実</t>
        </is>
      </c>
      <c r="E1" s="2" t="inlineStr">
        <is>
          <t>FY26/9 予(会社)</t>
        </is>
      </c>
      <c r="F1" s="2" t="inlineStr">
        <is>
          <t>FY27/9 予(Base)</t>
        </is>
      </c>
      <c r="G1" s="2" t="inlineStr">
        <is>
          <t>FY28/9 Bear</t>
        </is>
      </c>
      <c r="H1" s="2" t="inlineStr">
        <is>
          <t>FY28/9 Base</t>
        </is>
      </c>
      <c r="I1" s="2" t="inlineStr">
        <is>
          <t>FY28/9 Bull</t>
        </is>
      </c>
      <c r="J1" s="2" t="inlineStr">
        <is>
          <t>重要度</t>
        </is>
      </c>
      <c r="K1" s="2" t="inlineStr">
        <is>
          <t>備考</t>
        </is>
      </c>
    </row>
    <row r="2">
      <c r="A2" s="3" t="inlineStr">
        <is>
          <t>【売上高】</t>
        </is>
      </c>
      <c r="J2" s="4" t="inlineStr"/>
      <c r="K2" s="5" t="inlineStr"/>
    </row>
    <row r="3">
      <c r="A3" s="6" t="inlineStr">
        <is>
          <t>売上高 合計</t>
        </is>
      </c>
      <c r="B3" s="7" t="n">
        <v>3746</v>
      </c>
      <c r="C3" s="7" t="n">
        <v>5007</v>
      </c>
      <c r="D3" s="7" t="n">
        <v>5501</v>
      </c>
      <c r="E3" s="7" t="n">
        <v>6350</v>
      </c>
      <c r="F3" s="7" t="n">
        <v>7200</v>
      </c>
      <c r="G3" s="7" t="n">
        <v>6500</v>
      </c>
      <c r="H3" s="7" t="n">
        <v>8100</v>
      </c>
      <c r="I3" s="7" t="n">
        <v>10100</v>
      </c>
      <c r="J3" s="4" t="inlineStr"/>
      <c r="K3" s="5" t="inlineStr">
        <is>
          <t>連結損益計算書(FY23-25実績)、FY26は会社予想(2026年5月13日決算説明資料)、FY27/FY28はストーリーmd</t>
        </is>
      </c>
    </row>
    <row r="4">
      <c r="A4" s="8" t="inlineStr">
        <is>
          <t xml:space="preserve">　増収率(YoY)</t>
        </is>
      </c>
      <c r="B4" s="9" t="n"/>
      <c r="C4" s="9" t="n">
        <v>0.337</v>
      </c>
      <c r="D4" s="9" t="n">
        <v>0.099</v>
      </c>
      <c r="E4" s="9" t="n">
        <v>0.154</v>
      </c>
      <c r="F4" s="9" t="n">
        <v>0.134</v>
      </c>
      <c r="G4" s="9" t="n"/>
      <c r="H4" s="9" t="n"/>
      <c r="I4" s="9" t="n"/>
      <c r="J4" s="10" t="inlineStr"/>
      <c r="K4" s="11" t="inlineStr">
        <is>
          <t>(売上高÷前期売上高)−1。FY28は3シナリオの並列(YoY概念外)につき空白。FY27 Base比でBear-9.7%/Base+12.5%/Bull+40.3%</t>
        </is>
      </c>
    </row>
    <row r="6">
      <c r="A6" s="3" t="inlineStr">
        <is>
          <t>【セグメント別売上】</t>
        </is>
      </c>
      <c r="J6" s="4" t="inlineStr"/>
      <c r="K6" s="5" t="inlineStr"/>
    </row>
    <row r="7">
      <c r="A7" s="12" t="inlineStr">
        <is>
          <t>医療・介護クラウドPF事業</t>
        </is>
      </c>
      <c r="B7" s="13" t="n">
        <v>2850</v>
      </c>
      <c r="C7" s="13" t="n">
        <v>3365</v>
      </c>
      <c r="D7" s="13" t="n">
        <v>3583</v>
      </c>
      <c r="E7" s="13" t="n">
        <v>4120</v>
      </c>
      <c r="F7" s="13" t="n">
        <v>4700</v>
      </c>
      <c r="G7" s="13" t="n">
        <v>4300</v>
      </c>
      <c r="H7" s="13" t="n">
        <v>5400</v>
      </c>
      <c r="I7" s="13" t="n">
        <v>6800</v>
      </c>
      <c r="J7" s="14" t="inlineStr">
        <is>
          <t>★★★</t>
        </is>
      </c>
      <c r="K7" s="15" t="inlineStr">
        <is>
          <t>yuho開示。FY23は健康寿命延伸込みのため845を控除した値(2,850)を併記。FY26+はクラウド+プラットフォーム+その他で構成し、AI課金でARPU上昇</t>
        </is>
      </c>
    </row>
    <row r="8">
      <c r="A8" s="16" t="inlineStr">
        <is>
          <t xml:space="preserve">　カナミッククラウドサービス</t>
        </is>
      </c>
      <c r="B8" s="17" t="n">
        <v>2402</v>
      </c>
      <c r="C8" s="17" t="n">
        <v>2853</v>
      </c>
      <c r="D8" s="17" t="n">
        <v>2997</v>
      </c>
      <c r="E8" s="17" t="n">
        <v>3400</v>
      </c>
      <c r="F8" s="17" t="n">
        <v>3900</v>
      </c>
      <c r="G8" s="17" t="n">
        <v>3600</v>
      </c>
      <c r="H8" s="17" t="n">
        <v>4500</v>
      </c>
      <c r="I8" s="17" t="n">
        <v>5700</v>
      </c>
      <c r="J8" s="18" t="inlineStr">
        <is>
          <t>★★★</t>
        </is>
      </c>
      <c r="K8" s="19" t="inlineStr">
        <is>
          <t>ストックビジネス。FY25は前期比+5.1%、FY24は+18.8%(M&amp;A効果)、本ラインがAI課金の主受益</t>
        </is>
      </c>
    </row>
    <row r="9">
      <c r="A9" s="16" t="inlineStr">
        <is>
          <t xml:space="preserve">　プラットフォームサービス</t>
        </is>
      </c>
      <c r="B9" s="17" t="n">
        <v>300</v>
      </c>
      <c r="C9" s="17" t="n">
        <v>424</v>
      </c>
      <c r="D9" s="17" t="n">
        <v>474</v>
      </c>
      <c r="E9" s="17" t="n">
        <v>550</v>
      </c>
      <c r="F9" s="17" t="n">
        <v>620</v>
      </c>
      <c r="G9" s="17" t="n">
        <v>550</v>
      </c>
      <c r="H9" s="17" t="n">
        <v>700</v>
      </c>
      <c r="I9" s="17" t="n">
        <v>850</v>
      </c>
      <c r="J9" s="18" t="inlineStr"/>
      <c r="K9" s="19" t="inlineStr">
        <is>
          <t>HP構築/介護労働安定センター受託/インターネット広告。FY25+11.9%</t>
        </is>
      </c>
    </row>
    <row r="10">
      <c r="A10" s="16" t="inlineStr">
        <is>
          <t xml:space="preserve">　その他サービス(クラウドPF事業内)</t>
        </is>
      </c>
      <c r="B10" s="17" t="n">
        <v>147</v>
      </c>
      <c r="C10" s="17" t="n">
        <v>88</v>
      </c>
      <c r="D10" s="17" t="n">
        <v>112</v>
      </c>
      <c r="E10" s="17" t="n">
        <v>170</v>
      </c>
      <c r="F10" s="17" t="n">
        <v>180</v>
      </c>
      <c r="G10" s="17" t="n">
        <v>150</v>
      </c>
      <c r="H10" s="17" t="n">
        <v>200</v>
      </c>
      <c r="I10" s="17" t="n">
        <v>250</v>
      </c>
      <c r="J10" s="18" t="inlineStr"/>
      <c r="K10" s="19" t="inlineStr">
        <is>
          <t>大口顧客向けカスタマイズ開発受託。ボラあり</t>
        </is>
      </c>
    </row>
    <row r="11">
      <c r="A11" s="12" t="inlineStr">
        <is>
          <t>健康寿命延伸事業</t>
        </is>
      </c>
      <c r="B11" s="13" t="n">
        <v>846</v>
      </c>
      <c r="C11" s="13" t="n">
        <v>1131</v>
      </c>
      <c r="D11" s="13" t="n">
        <v>1188</v>
      </c>
      <c r="E11" s="13" t="n">
        <v>1300</v>
      </c>
      <c r="F11" s="13" t="n">
        <v>1500</v>
      </c>
      <c r="G11" s="13" t="n">
        <v>1400</v>
      </c>
      <c r="H11" s="13" t="n">
        <v>1600</v>
      </c>
      <c r="I11" s="13" t="n">
        <v>1900</v>
      </c>
      <c r="J11" s="14" t="inlineStr">
        <is>
          <t>★★</t>
        </is>
      </c>
      <c r="K11" s="15" t="inlineStr">
        <is>
          <t>アーバンフィット24(2026年2Q末で27店舗)。FY23時点はクラウドPF事業内で開示、FY24以降にセグメント分離</t>
        </is>
      </c>
    </row>
    <row r="12">
      <c r="A12" s="12" t="inlineStr">
        <is>
          <t>ソリューション開発事業</t>
        </is>
      </c>
      <c r="B12" s="13" t="n">
        <v>51</v>
      </c>
      <c r="C12" s="13" t="n">
        <v>512</v>
      </c>
      <c r="D12" s="13" t="n">
        <v>730</v>
      </c>
      <c r="E12" s="13" t="n">
        <v>930</v>
      </c>
      <c r="F12" s="13" t="n">
        <v>1000</v>
      </c>
      <c r="G12" s="13" t="n">
        <v>800</v>
      </c>
      <c r="H12" s="13" t="n">
        <v>1100</v>
      </c>
      <c r="I12" s="13" t="n">
        <v>1400</v>
      </c>
      <c r="J12" s="14" t="inlineStr">
        <is>
          <t>★</t>
        </is>
      </c>
      <c r="K12" s="15" t="inlineStr">
        <is>
          <t>Ruby開発(2023/8連結)+TWM(2025/2連結)。FY24+904%/FY25+42.6%。海外展開でも寄与</t>
        </is>
      </c>
    </row>
    <row r="14">
      <c r="A14" s="3" t="inlineStr">
        <is>
          <t>【因数分解: 有料ユーザー数 × 月額ARPU × 12ヶ月】</t>
        </is>
      </c>
      <c r="J14" s="4" t="inlineStr"/>
      <c r="K14" s="5" t="inlineStr"/>
    </row>
    <row r="15">
      <c r="A15" s="12" t="inlineStr">
        <is>
          <t>有料ユーザーID数 (期末、人)</t>
        </is>
      </c>
      <c r="B15" s="13" t="n">
        <v>155516</v>
      </c>
      <c r="C15" s="13" t="n">
        <v>191813</v>
      </c>
      <c r="D15" s="13" t="n">
        <v>221822</v>
      </c>
      <c r="E15" s="13" t="n">
        <v>240000</v>
      </c>
      <c r="F15" s="13" t="n">
        <v>260000</v>
      </c>
      <c r="G15" s="13" t="n">
        <v>260000</v>
      </c>
      <c r="H15" s="13" t="n">
        <v>280000</v>
      </c>
      <c r="I15" s="13" t="n">
        <v>310000</v>
      </c>
      <c r="J15" s="14" t="inlineStr">
        <is>
          <t>★★★</t>
        </is>
      </c>
      <c r="K15" s="15" t="inlineStr">
        <is>
          <t>決算説明資料1-8。FY23/9~FY25/9実績。FY26末はFY26-2Q時点247,836→+8%伸び想定。Base CAGR+9%/Bear+6%/Bull+12%</t>
        </is>
      </c>
    </row>
    <row r="16">
      <c r="A16" s="8" t="inlineStr">
        <is>
          <t xml:space="preserve">　増加率 YoY</t>
        </is>
      </c>
      <c r="B16" s="9" t="n"/>
      <c r="C16" s="9" t="n">
        <v>0.233</v>
      </c>
      <c r="D16" s="9" t="n">
        <v>0.157</v>
      </c>
      <c r="E16" s="9" t="n">
        <v>0.082</v>
      </c>
      <c r="F16" s="9" t="n">
        <v>0.083</v>
      </c>
      <c r="G16" s="9" t="n">
        <v>0.083</v>
      </c>
      <c r="H16" s="9" t="n">
        <v>0.122</v>
      </c>
      <c r="I16" s="9" t="n">
        <v>0.241</v>
      </c>
      <c r="J16" s="10" t="inlineStr"/>
      <c r="K16" s="11" t="inlineStr">
        <is>
          <t>FY24/9末+23.3%(M&amp;A効果)、FY25/9末+15.7%。FY26-FY28はストーリーmd</t>
        </is>
      </c>
    </row>
    <row r="17">
      <c r="A17" s="12" t="inlineStr">
        <is>
          <t>クラウドPF+ソリューション 月額ARPU (円)</t>
        </is>
      </c>
      <c r="B17" s="13" t="n">
        <v>1350</v>
      </c>
      <c r="C17" s="13" t="n">
        <v>1500</v>
      </c>
      <c r="D17" s="13" t="n">
        <v>1600</v>
      </c>
      <c r="E17" s="13" t="n">
        <v>1660</v>
      </c>
      <c r="F17" s="13" t="n">
        <v>1750</v>
      </c>
      <c r="G17" s="13" t="n">
        <v>1560</v>
      </c>
      <c r="H17" s="13" t="n">
        <v>1850</v>
      </c>
      <c r="I17" s="13" t="n">
        <v>2100</v>
      </c>
      <c r="J17" s="14" t="inlineStr">
        <is>
          <t>★★★</t>
        </is>
      </c>
      <c r="K17" s="15" t="inlineStr">
        <is>
          <t>(クラウドPF+ソリューション売上) ÷ 有料ユーザー数(年央概算) ÷ 12。FY28はストーリーmd前提。AI課金浸透がドライバー</t>
        </is>
      </c>
    </row>
    <row r="18">
      <c r="A18" s="8" t="inlineStr">
        <is>
          <t xml:space="preserve">　ARPU 上昇率 YoY</t>
        </is>
      </c>
      <c r="B18" s="9" t="n"/>
      <c r="C18" s="9" t="n">
        <v>0.111</v>
      </c>
      <c r="D18" s="9" t="n">
        <v>0.067</v>
      </c>
      <c r="E18" s="9" t="n">
        <v>0.038</v>
      </c>
      <c r="F18" s="9" t="n">
        <v>0.054</v>
      </c>
      <c r="G18" s="9" t="n">
        <v>-0.024</v>
      </c>
      <c r="H18" s="9" t="n">
        <v>0.158</v>
      </c>
      <c r="I18" s="9" t="n">
        <v>0.313</v>
      </c>
      <c r="J18" s="10" t="inlineStr"/>
      <c r="K18" s="11" t="inlineStr">
        <is>
          <t>FY28 BaseはAI課金浸透25-30%でARPU+15.8%、BullはAI浸透40%超でARPU+31%超</t>
        </is>
      </c>
    </row>
    <row r="20">
      <c r="A20" s="6" t="inlineStr">
        <is>
          <t xml:space="preserve">  ▽ AI課金浸透(変曲点ドライバー)</t>
        </is>
      </c>
      <c r="J20" s="4" t="inlineStr"/>
      <c r="K20" s="5" t="inlineStr"/>
    </row>
    <row r="21">
      <c r="A21" s="16" t="inlineStr">
        <is>
          <t xml:space="preserve">　AI機能浸透率 (有料IDの%)</t>
        </is>
      </c>
      <c r="B21" s="20" t="n">
        <v>0</v>
      </c>
      <c r="C21" s="20" t="n">
        <v>0</v>
      </c>
      <c r="D21" s="20" t="n">
        <v>0</v>
      </c>
      <c r="E21" s="20" t="n">
        <v>0.05</v>
      </c>
      <c r="F21" s="20" t="n">
        <v>0.15</v>
      </c>
      <c r="G21" s="20" t="n">
        <v>0.1</v>
      </c>
      <c r="H21" s="20" t="n">
        <v>0.27</v>
      </c>
      <c r="I21" s="20" t="n">
        <v>0.42</v>
      </c>
      <c r="J21" s="18" t="inlineStr">
        <is>
          <t>★★★</t>
        </is>
      </c>
      <c r="K21" s="19" t="inlineStr">
        <is>
          <t>FY26から課金開始(AI100-Vision)。Base FY28で25-30%浸透、Bull 40%超。2027年改定で加算要件化なら非線形</t>
        </is>
      </c>
    </row>
    <row r="22">
      <c r="A22" s="16" t="inlineStr">
        <is>
          <t xml:space="preserve">　AI機能 平均月額単価 (円)</t>
        </is>
      </c>
      <c r="B22" s="17" t="n"/>
      <c r="C22" s="17" t="n"/>
      <c r="D22" s="17" t="n"/>
      <c r="E22" s="17" t="n">
        <v>800</v>
      </c>
      <c r="F22" s="17" t="n">
        <v>900</v>
      </c>
      <c r="G22" s="17" t="n">
        <v>700</v>
      </c>
      <c r="H22" s="17" t="n">
        <v>1000</v>
      </c>
      <c r="I22" s="17" t="n">
        <v>1200</v>
      </c>
      <c r="J22" s="18" t="inlineStr">
        <is>
          <t>★★</t>
        </is>
      </c>
      <c r="K22" s="19" t="inlineStr">
        <is>
          <t>未開示。月額500-1,500円とストーリーmd記載。Base 1,000円/Bear 700/Bull 1,200で置く</t>
        </is>
      </c>
    </row>
    <row r="23">
      <c r="A23" s="8" t="inlineStr">
        <is>
          <t xml:space="preserve">　AI課金 ARPU寄与 (円/月、ブレンド)</t>
        </is>
      </c>
      <c r="B23" s="21" t="n">
        <v>0</v>
      </c>
      <c r="C23" s="21" t="n">
        <v>0</v>
      </c>
      <c r="D23" s="21" t="n">
        <v>0</v>
      </c>
      <c r="E23" s="21" t="n">
        <v>40</v>
      </c>
      <c r="F23" s="21" t="n">
        <v>135</v>
      </c>
      <c r="G23" s="21" t="n">
        <v>70</v>
      </c>
      <c r="H23" s="21" t="n">
        <v>270</v>
      </c>
      <c r="I23" s="21" t="n">
        <v>504</v>
      </c>
      <c r="J23" s="10" t="inlineStr"/>
      <c r="K23" s="11" t="inlineStr">
        <is>
          <t>浸透率 × 平均単価。Base FY28: 27%×1,000=270円が既存ARPUに上乗せ</t>
        </is>
      </c>
    </row>
    <row r="25">
      <c r="A25" s="6" t="inlineStr">
        <is>
          <t xml:space="preserve">  ▽ 健康寿命延伸サブドライバー</t>
        </is>
      </c>
      <c r="J25" s="4" t="inlineStr"/>
      <c r="K25" s="5" t="inlineStr"/>
    </row>
    <row r="26">
      <c r="A26" s="16" t="inlineStr">
        <is>
          <t xml:space="preserve">　アーバンフィット 店舗数 (期末)</t>
        </is>
      </c>
      <c r="B26" s="22" t="n">
        <v>13</v>
      </c>
      <c r="C26" s="22" t="n">
        <v>20</v>
      </c>
      <c r="D26" s="22" t="n">
        <v>24</v>
      </c>
      <c r="E26" s="22" t="n">
        <v>30</v>
      </c>
      <c r="F26" s="22" t="n">
        <v>35</v>
      </c>
      <c r="G26" s="22" t="n">
        <v>32</v>
      </c>
      <c r="H26" s="22" t="n">
        <v>36</v>
      </c>
      <c r="I26" s="22" t="n">
        <v>42</v>
      </c>
      <c r="J26" s="18" t="inlineStr">
        <is>
          <t>★</t>
        </is>
      </c>
      <c r="K26" s="19" t="inlineStr">
        <is>
          <t>2026/3末で27店舗(2026年5月時点)。Vision 2035ベースで年4-6店舗増想定</t>
        </is>
      </c>
    </row>
    <row r="27">
      <c r="A27" s="16" t="inlineStr">
        <is>
          <t xml:space="preserve">　1店舗あたり年商 (百万円)</t>
        </is>
      </c>
      <c r="B27" s="23" t="n">
        <v>65</v>
      </c>
      <c r="C27" s="23" t="n">
        <v>57</v>
      </c>
      <c r="D27" s="23" t="n">
        <v>49</v>
      </c>
      <c r="E27" s="23" t="n">
        <v>43</v>
      </c>
      <c r="F27" s="23" t="n">
        <v>43</v>
      </c>
      <c r="G27" s="23" t="n">
        <v>44</v>
      </c>
      <c r="H27" s="23" t="n">
        <v>44</v>
      </c>
      <c r="I27" s="23" t="n">
        <v>45</v>
      </c>
      <c r="J27" s="18" t="inlineStr"/>
      <c r="K27" s="19" t="inlineStr">
        <is>
          <t>健康寿命延伸事業売上 ÷ 期中平均店舗数。新規出店で当初は低稼働、徐々に45百万へ収斂</t>
        </is>
      </c>
    </row>
    <row r="29">
      <c r="A29" s="3" t="inlineStr">
        <is>
          <t>【粗利】</t>
        </is>
      </c>
      <c r="J29" s="4" t="inlineStr"/>
      <c r="K29" s="5" t="inlineStr"/>
    </row>
    <row r="30">
      <c r="A30" s="6" t="inlineStr">
        <is>
          <t>売上原価</t>
        </is>
      </c>
      <c r="B30" s="7" t="n">
        <v>1152</v>
      </c>
      <c r="C30" s="7" t="n">
        <v>1935</v>
      </c>
      <c r="D30" s="7" t="n">
        <v>1964</v>
      </c>
      <c r="E30" s="7" t="n">
        <v>2223</v>
      </c>
      <c r="F30" s="7" t="n">
        <v>2448</v>
      </c>
      <c r="G30" s="7" t="n">
        <v>2308</v>
      </c>
      <c r="H30" s="7" t="n">
        <v>2673</v>
      </c>
      <c r="I30" s="7" t="n">
        <v>3131</v>
      </c>
      <c r="J30" s="4" t="inlineStr"/>
      <c r="K30" s="5" t="inlineStr">
        <is>
          <t>連結P&amp;L(FY23-25実績)。FY26+は売上×(1-粗利率)。FY24は新規連結(Ruby/アーバンフィット)で粗利率低下</t>
        </is>
      </c>
    </row>
    <row r="31">
      <c r="A31" s="6" t="inlineStr">
        <is>
          <t>売上総利益</t>
        </is>
      </c>
      <c r="B31" s="7" t="n">
        <v>2594</v>
      </c>
      <c r="C31" s="7" t="n">
        <v>3072</v>
      </c>
      <c r="D31" s="7" t="n">
        <v>3536</v>
      </c>
      <c r="E31" s="7" t="n">
        <v>4128</v>
      </c>
      <c r="F31" s="7" t="n">
        <v>4752</v>
      </c>
      <c r="G31" s="7" t="n">
        <v>4193</v>
      </c>
      <c r="H31" s="7" t="n">
        <v>5427</v>
      </c>
      <c r="I31" s="7" t="n">
        <v>6969</v>
      </c>
      <c r="J31" s="4" t="inlineStr"/>
      <c r="K31" s="5" t="inlineStr">
        <is>
          <t>連結P&amp;L。FY26+は売上×粗利率</t>
        </is>
      </c>
    </row>
    <row r="32">
      <c r="A32" s="16" t="inlineStr">
        <is>
          <t xml:space="preserve">　粗利率</t>
        </is>
      </c>
      <c r="B32" s="20" t="n">
        <v>0.6919999999999999</v>
      </c>
      <c r="C32" s="20" t="n">
        <v>0.614</v>
      </c>
      <c r="D32" s="20" t="n">
        <v>0.643</v>
      </c>
      <c r="E32" s="20" t="n">
        <v>0.65</v>
      </c>
      <c r="F32" s="20" t="n">
        <v>0.66</v>
      </c>
      <c r="G32" s="20" t="n">
        <v>0.645</v>
      </c>
      <c r="H32" s="20" t="n">
        <v>0.67</v>
      </c>
      <c r="I32" s="20" t="n">
        <v>0.6899999999999999</v>
      </c>
      <c r="J32" s="18" t="inlineStr"/>
      <c r="K32" s="19" t="inlineStr">
        <is>
          <t>FY23 69.2%→FY24 61.4%(M&amp;Aで一時悪化)→FY25 64.3%回復→AI課金限界利益≈100%で漸増</t>
        </is>
      </c>
    </row>
    <row r="34">
      <c r="A34" s="3" t="inlineStr">
        <is>
          <t>【販管費】</t>
        </is>
      </c>
      <c r="J34" s="4" t="inlineStr"/>
      <c r="K34" s="5" t="inlineStr"/>
    </row>
    <row r="35">
      <c r="A35" s="6" t="inlineStr">
        <is>
          <t>販管費 合計</t>
        </is>
      </c>
      <c r="B35" s="7" t="n">
        <v>1498</v>
      </c>
      <c r="C35" s="7" t="n">
        <v>1633</v>
      </c>
      <c r="D35" s="7" t="n">
        <v>1930</v>
      </c>
      <c r="E35" s="7" t="n">
        <v>2078</v>
      </c>
      <c r="F35" s="7" t="n">
        <v>2376</v>
      </c>
      <c r="G35" s="7" t="n">
        <v>2243</v>
      </c>
      <c r="H35" s="7" t="n">
        <v>2677</v>
      </c>
      <c r="I35" s="7" t="n">
        <v>3232</v>
      </c>
      <c r="J35" s="4" t="inlineStr"/>
      <c r="K35" s="5" t="inlineStr">
        <is>
          <t>連結P&amp;L(FY23-25実績)。FY26+は粗利−営利。営業利益率目標から逆算</t>
        </is>
      </c>
    </row>
    <row r="36">
      <c r="A36" s="16" t="inlineStr">
        <is>
          <t xml:space="preserve">　従業員給料</t>
        </is>
      </c>
      <c r="B36" s="17" t="n">
        <v>353</v>
      </c>
      <c r="C36" s="17" t="n">
        <v>381</v>
      </c>
      <c r="D36" s="17" t="n">
        <v>486</v>
      </c>
      <c r="E36" s="17" t="n">
        <v>580</v>
      </c>
      <c r="F36" s="17" t="n">
        <v>670</v>
      </c>
      <c r="G36" s="17" t="n">
        <v>620</v>
      </c>
      <c r="H36" s="17" t="n">
        <v>760</v>
      </c>
      <c r="I36" s="17" t="n">
        <v>950</v>
      </c>
      <c r="J36" s="18" t="inlineStr"/>
      <c r="K36" s="19" t="inlineStr">
        <is>
          <t>yuho販管費注記。FY25+27.6%は新規連結とTWM連結(2025/2)。SaaS人件費は売上に劣後成長</t>
        </is>
      </c>
    </row>
    <row r="37">
      <c r="A37" s="16" t="inlineStr">
        <is>
          <t xml:space="preserve">　役員報酬</t>
        </is>
      </c>
      <c r="B37" s="17" t="n">
        <v>241</v>
      </c>
      <c r="C37" s="17" t="n">
        <v>251</v>
      </c>
      <c r="D37" s="17" t="n">
        <v>256</v>
      </c>
      <c r="E37" s="17" t="n">
        <v>270</v>
      </c>
      <c r="F37" s="17" t="n">
        <v>285</v>
      </c>
      <c r="G37" s="17" t="n">
        <v>280</v>
      </c>
      <c r="H37" s="17" t="n">
        <v>295</v>
      </c>
      <c r="I37" s="17" t="n">
        <v>310</v>
      </c>
      <c r="J37" s="18" t="inlineStr"/>
      <c r="K37" s="19" t="inlineStr">
        <is>
          <t>yuho販管費注記。FY24+4%、FY25+2.3%。安定推移</t>
        </is>
      </c>
    </row>
    <row r="38">
      <c r="A38" s="16" t="inlineStr">
        <is>
          <t xml:space="preserve">　地代家賃</t>
        </is>
      </c>
      <c r="B38" s="17" t="n">
        <v>85</v>
      </c>
      <c r="C38" s="17" t="n">
        <v>92</v>
      </c>
      <c r="D38" s="17" t="n">
        <v>85</v>
      </c>
      <c r="E38" s="17" t="n">
        <v>90</v>
      </c>
      <c r="F38" s="17" t="n">
        <v>95</v>
      </c>
      <c r="G38" s="17" t="n">
        <v>95</v>
      </c>
      <c r="H38" s="17" t="n">
        <v>100</v>
      </c>
      <c r="I38" s="17" t="n">
        <v>110</v>
      </c>
      <c r="J38" s="18" t="inlineStr"/>
      <c r="K38" s="19" t="inlineStr">
        <is>
          <t>本社+営業所(7拠点)。FY25は減(再配置)</t>
        </is>
      </c>
    </row>
    <row r="39">
      <c r="A39" s="16" t="inlineStr">
        <is>
          <t xml:space="preserve">　法定福利費</t>
        </is>
      </c>
      <c r="B39" s="17" t="n">
        <v>77</v>
      </c>
      <c r="C39" s="17" t="n">
        <v>82</v>
      </c>
      <c r="D39" s="17" t="n">
        <v>99</v>
      </c>
      <c r="E39" s="17" t="n">
        <v>110</v>
      </c>
      <c r="F39" s="17" t="n">
        <v>125</v>
      </c>
      <c r="G39" s="17" t="n">
        <v>120</v>
      </c>
      <c r="H39" s="17" t="n">
        <v>140</v>
      </c>
      <c r="I39" s="17" t="n">
        <v>170</v>
      </c>
      <c r="J39" s="18" t="inlineStr"/>
      <c r="K39" s="19" t="inlineStr">
        <is>
          <t>従業員給料に概ね連動</t>
        </is>
      </c>
    </row>
    <row r="40">
      <c r="A40" s="16" t="inlineStr">
        <is>
          <t xml:space="preserve">　賞与引当金繰入額</t>
        </is>
      </c>
      <c r="B40" s="17" t="n">
        <v>37</v>
      </c>
      <c r="C40" s="17" t="n">
        <v>40</v>
      </c>
      <c r="D40" s="17" t="n">
        <v>51</v>
      </c>
      <c r="E40" s="17" t="n">
        <v>60</v>
      </c>
      <c r="F40" s="17" t="n">
        <v>70</v>
      </c>
      <c r="G40" s="17" t="n">
        <v>65</v>
      </c>
      <c r="H40" s="17" t="n">
        <v>80</v>
      </c>
      <c r="I40" s="17" t="n">
        <v>100</v>
      </c>
      <c r="J40" s="18" t="inlineStr"/>
      <c r="K40" s="19" t="inlineStr">
        <is>
          <t>業績連動。OPM拡大局面で増額</t>
        </is>
      </c>
    </row>
    <row r="41">
      <c r="A41" s="16" t="inlineStr">
        <is>
          <t xml:space="preserve">　減価償却費</t>
        </is>
      </c>
      <c r="B41" s="17" t="n">
        <v>44</v>
      </c>
      <c r="C41" s="17" t="n">
        <v>46</v>
      </c>
      <c r="D41" s="17" t="n">
        <v>47</v>
      </c>
      <c r="E41" s="17" t="n">
        <v>50</v>
      </c>
      <c r="F41" s="17" t="n">
        <v>55</v>
      </c>
      <c r="G41" s="17" t="n">
        <v>55</v>
      </c>
      <c r="H41" s="17" t="n">
        <v>60</v>
      </c>
      <c r="I41" s="17" t="n">
        <v>70</v>
      </c>
      <c r="J41" s="18" t="inlineStr"/>
      <c r="K41" s="19" t="inlineStr">
        <is>
          <t>販管費分のみ。連結全体の減価償却費はFY25で332百万(B/S)</t>
        </is>
      </c>
    </row>
    <row r="42">
      <c r="A42" s="16" t="inlineStr">
        <is>
          <t xml:space="preserve">　貸倒引当金繰入額</t>
        </is>
      </c>
      <c r="B42" s="17" t="n">
        <v>4</v>
      </c>
      <c r="C42" s="17" t="n">
        <v>6</v>
      </c>
      <c r="D42" s="17" t="n">
        <v>1</v>
      </c>
      <c r="E42" s="17" t="n">
        <v>3</v>
      </c>
      <c r="F42" s="17" t="n">
        <v>3</v>
      </c>
      <c r="G42" s="17" t="n">
        <v>3</v>
      </c>
      <c r="H42" s="17" t="n">
        <v>3</v>
      </c>
      <c r="I42" s="17" t="n">
        <v>3</v>
      </c>
      <c r="J42" s="18" t="inlineStr"/>
      <c r="K42" s="19" t="inlineStr">
        <is>
          <t>据え置き(過去レンジ1-6百万)</t>
        </is>
      </c>
    </row>
    <row r="43">
      <c r="A43" s="16" t="inlineStr">
        <is>
          <t xml:space="preserve">　その他販管費</t>
        </is>
      </c>
      <c r="B43" s="17" t="n">
        <v>657</v>
      </c>
      <c r="C43" s="17" t="n">
        <v>735</v>
      </c>
      <c r="D43" s="17" t="n">
        <v>905</v>
      </c>
      <c r="E43" s="17" t="n">
        <v>915</v>
      </c>
      <c r="F43" s="17" t="n">
        <v>1073</v>
      </c>
      <c r="G43" s="17" t="n">
        <v>1005</v>
      </c>
      <c r="H43" s="17" t="n">
        <v>1239</v>
      </c>
      <c r="I43" s="17" t="n">
        <v>1519</v>
      </c>
      <c r="J43" s="18" t="inlineStr"/>
      <c r="K43" s="19" t="inlineStr">
        <is>
          <t>販管費合計から上記内訳を差引いた残余(外注費/広告/業務委託等)</t>
        </is>
      </c>
    </row>
    <row r="45">
      <c r="A45" s="3" t="inlineStr">
        <is>
          <t>【利益】</t>
        </is>
      </c>
      <c r="J45" s="4" t="inlineStr"/>
      <c r="K45" s="5" t="inlineStr"/>
    </row>
    <row r="46">
      <c r="A46" s="6" t="inlineStr">
        <is>
          <t>営業利益</t>
        </is>
      </c>
      <c r="B46" s="7" t="n">
        <v>1096</v>
      </c>
      <c r="C46" s="7" t="n">
        <v>1439</v>
      </c>
      <c r="D46" s="7" t="n">
        <v>1607</v>
      </c>
      <c r="E46" s="7" t="n">
        <v>2050</v>
      </c>
      <c r="F46" s="7" t="n">
        <v>2376</v>
      </c>
      <c r="G46" s="7" t="n">
        <v>1950</v>
      </c>
      <c r="H46" s="7" t="n">
        <v>2750</v>
      </c>
      <c r="I46" s="7" t="n">
        <v>3737</v>
      </c>
      <c r="J46" s="4" t="inlineStr"/>
      <c r="K46" s="5" t="inlineStr">
        <is>
          <t>連結P&amp;L(FY23-25実績)。FY26会社予想2,050。FY27-FY28シナリオはストーリーmd</t>
        </is>
      </c>
    </row>
    <row r="47">
      <c r="A47" s="16" t="inlineStr">
        <is>
          <t xml:space="preserve">　営業利益率</t>
        </is>
      </c>
      <c r="B47" s="20" t="n">
        <v>0.293</v>
      </c>
      <c r="C47" s="20" t="n">
        <v>0.287</v>
      </c>
      <c r="D47" s="20" t="n">
        <v>0.292</v>
      </c>
      <c r="E47" s="20" t="n">
        <v>0.323</v>
      </c>
      <c r="F47" s="20" t="n">
        <v>0.33</v>
      </c>
      <c r="G47" s="20" t="n">
        <v>0.3</v>
      </c>
      <c r="H47" s="20" t="n">
        <v>0.34</v>
      </c>
      <c r="I47" s="20" t="n">
        <v>0.37</v>
      </c>
      <c r="J47" s="18" t="inlineStr">
        <is>
          <t>★★</t>
        </is>
      </c>
      <c r="K47" s="19" t="inlineStr">
        <is>
          <t>FY25 29.2%→FY26予32.3%。Vision 2035で2030年33-35%目標。Base FY28 34%は妥当、AI限界利益反映</t>
        </is>
      </c>
    </row>
    <row r="48">
      <c r="A48" s="6" t="inlineStr">
        <is>
          <t>経常利益</t>
        </is>
      </c>
      <c r="B48" s="7" t="n">
        <v>1107</v>
      </c>
      <c r="C48" s="7" t="n">
        <v>1448</v>
      </c>
      <c r="D48" s="7" t="n">
        <v>1613</v>
      </c>
      <c r="E48" s="7" t="n">
        <v>2055</v>
      </c>
      <c r="F48" s="7" t="n">
        <v>2380</v>
      </c>
      <c r="G48" s="7" t="n">
        <v>1955</v>
      </c>
      <c r="H48" s="7" t="n">
        <v>2755</v>
      </c>
      <c r="I48" s="7" t="n">
        <v>3745</v>
      </c>
      <c r="J48" s="4" t="inlineStr"/>
      <c r="K48" s="5" t="inlineStr">
        <is>
          <t>連結P&amp;L(FY23-25実績)。営業外損益は小幅。FY26+は営利+5百万で簡略</t>
        </is>
      </c>
    </row>
    <row r="49">
      <c r="A49" s="16" t="inlineStr">
        <is>
          <t xml:space="preserve">　営業外損益(純)</t>
        </is>
      </c>
      <c r="B49" s="17" t="n">
        <v>11</v>
      </c>
      <c r="C49" s="17" t="n">
        <v>9</v>
      </c>
      <c r="D49" s="17" t="n">
        <v>6</v>
      </c>
      <c r="E49" s="17" t="n">
        <v>5</v>
      </c>
      <c r="F49" s="17" t="n">
        <v>5</v>
      </c>
      <c r="G49" s="17" t="n">
        <v>5</v>
      </c>
      <c r="H49" s="17" t="n">
        <v>5</v>
      </c>
      <c r="I49" s="17" t="n">
        <v>5</v>
      </c>
      <c r="J49" s="18" t="inlineStr"/>
      <c r="K49" s="19" t="inlineStr">
        <is>
          <t>受取利息/手数料等。安定して+5〜10百万円</t>
        </is>
      </c>
    </row>
    <row r="50">
      <c r="A50" s="6" t="inlineStr">
        <is>
          <t>税金等調整前純利益</t>
        </is>
      </c>
      <c r="B50" s="7" t="n">
        <v>1104</v>
      </c>
      <c r="C50" s="7" t="n">
        <v>1352</v>
      </c>
      <c r="D50" s="7" t="n">
        <v>1613</v>
      </c>
      <c r="E50" s="7" t="n">
        <v>2055</v>
      </c>
      <c r="F50" s="7" t="n">
        <v>2380</v>
      </c>
      <c r="G50" s="7" t="n">
        <v>1955</v>
      </c>
      <c r="H50" s="7" t="n">
        <v>2755</v>
      </c>
      <c r="I50" s="7" t="n">
        <v>3745</v>
      </c>
      <c r="J50" s="4" t="inlineStr"/>
      <c r="K50" s="5" t="inlineStr">
        <is>
          <t>FY24は特別損失(減損96+移転7)で経常から減少。FY26+は特益・特損ゼロ想定</t>
        </is>
      </c>
    </row>
    <row r="51">
      <c r="A51" s="6" t="inlineStr">
        <is>
          <t>法人税等</t>
        </is>
      </c>
      <c r="B51" s="7" t="n">
        <v>341</v>
      </c>
      <c r="C51" s="7" t="n">
        <v>432</v>
      </c>
      <c r="D51" s="7" t="n">
        <v>501</v>
      </c>
      <c r="E51" s="7" t="n">
        <v>617</v>
      </c>
      <c r="F51" s="7" t="n">
        <v>714</v>
      </c>
      <c r="G51" s="7" t="n">
        <v>587</v>
      </c>
      <c r="H51" s="7" t="n">
        <v>827</v>
      </c>
      <c r="I51" s="7" t="n">
        <v>1124</v>
      </c>
      <c r="J51" s="4" t="inlineStr"/>
      <c r="K51" s="5" t="inlineStr">
        <is>
          <t>実効税率を乗じた値</t>
        </is>
      </c>
    </row>
    <row r="52">
      <c r="A52" s="16" t="inlineStr">
        <is>
          <t xml:space="preserve">　実効税率</t>
        </is>
      </c>
      <c r="B52" s="20" t="n">
        <v>0.309</v>
      </c>
      <c r="C52" s="20" t="n">
        <v>0.32</v>
      </c>
      <c r="D52" s="20" t="n">
        <v>0.311</v>
      </c>
      <c r="E52" s="20" t="n">
        <v>0.3</v>
      </c>
      <c r="F52" s="20" t="n">
        <v>0.3</v>
      </c>
      <c r="G52" s="20" t="n">
        <v>0.3</v>
      </c>
      <c r="H52" s="20" t="n">
        <v>0.3</v>
      </c>
      <c r="I52" s="20" t="n">
        <v>0.3</v>
      </c>
      <c r="J52" s="18" t="inlineStr"/>
      <c r="K52" s="19" t="inlineStr">
        <is>
          <t>FY23-25実績30-32%。法定実効税率約30%。FY26+は30%で固定</t>
        </is>
      </c>
    </row>
    <row r="53">
      <c r="A53" s="6" t="inlineStr">
        <is>
          <t>親会社株主帰属純利益</t>
        </is>
      </c>
      <c r="B53" s="7" t="n">
        <v>763</v>
      </c>
      <c r="C53" s="7" t="n">
        <v>920</v>
      </c>
      <c r="D53" s="7" t="n">
        <v>1112</v>
      </c>
      <c r="E53" s="7" t="n">
        <v>1437</v>
      </c>
      <c r="F53" s="7" t="n">
        <v>1666</v>
      </c>
      <c r="G53" s="7" t="n">
        <v>1369</v>
      </c>
      <c r="H53" s="7" t="n">
        <v>1929</v>
      </c>
      <c r="I53" s="7" t="n">
        <v>2622</v>
      </c>
      <c r="J53" s="4" t="inlineStr"/>
      <c r="K53" s="5" t="inlineStr">
        <is>
          <t>連結P&amp;L。FY26会社予想は1,370(28.5円)、ストーリー値とほぼ一致</t>
        </is>
      </c>
    </row>
    <row r="55">
      <c r="A55" s="3" t="inlineStr">
        <is>
          <t>【補助KPI: SaaS指標】</t>
        </is>
      </c>
      <c r="J55" s="4" t="inlineStr"/>
      <c r="K55" s="5" t="inlineStr"/>
    </row>
    <row r="56">
      <c r="A56" s="12" t="inlineStr">
        <is>
          <t>導入地域数 (期末)</t>
        </is>
      </c>
      <c r="B56" s="24" t="n">
        <v>1270</v>
      </c>
      <c r="C56" s="24" t="n">
        <v>1320</v>
      </c>
      <c r="D56" s="24" t="n">
        <v>1397</v>
      </c>
      <c r="E56" s="24" t="n">
        <v>1440</v>
      </c>
      <c r="F56" s="24" t="n">
        <v>1490</v>
      </c>
      <c r="G56" s="24" t="n">
        <v>1460</v>
      </c>
      <c r="H56" s="24" t="n">
        <v>1510</v>
      </c>
      <c r="I56" s="24" t="n">
        <v>1580</v>
      </c>
      <c r="J56" s="14" t="inlineStr"/>
      <c r="K56" s="15" t="inlineStr">
        <is>
          <t>決算説明資料1-7。中学校区(人口3万人圏)単位。FY26 2Q時点1,420地域</t>
        </is>
      </c>
    </row>
    <row r="57">
      <c r="A57" s="12" t="inlineStr">
        <is>
          <t>無料ユーザーID数 (期末)</t>
        </is>
      </c>
      <c r="B57" s="13" t="n">
        <v>86760</v>
      </c>
      <c r="C57" s="13" t="n">
        <v>101309</v>
      </c>
      <c r="D57" s="13" t="n">
        <v>117497</v>
      </c>
      <c r="E57" s="13" t="n">
        <v>135000</v>
      </c>
      <c r="F57" s="13" t="n">
        <v>152000</v>
      </c>
      <c r="G57" s="13" t="n">
        <v>145000</v>
      </c>
      <c r="H57" s="13" t="n">
        <v>158000</v>
      </c>
      <c r="I57" s="13" t="n">
        <v>175000</v>
      </c>
      <c r="J57" s="14" t="inlineStr"/>
      <c r="K57" s="15" t="inlineStr">
        <is>
          <t>決算説明資料1-8。無料→有料転換のパイプライン。介護情報基盤稼働で増加加速可能性</t>
        </is>
      </c>
    </row>
    <row r="58">
      <c r="A58" s="6" t="inlineStr">
        <is>
          <t>ユーザーID合計</t>
        </is>
      </c>
      <c r="B58" s="7" t="n">
        <v>242276</v>
      </c>
      <c r="C58" s="7" t="n">
        <v>293122</v>
      </c>
      <c r="D58" s="7" t="n">
        <v>339319</v>
      </c>
      <c r="E58" s="7" t="n">
        <v>375000</v>
      </c>
      <c r="F58" s="7" t="n">
        <v>412000</v>
      </c>
      <c r="G58" s="7" t="n">
        <v>405000</v>
      </c>
      <c r="H58" s="7" t="n">
        <v>438000</v>
      </c>
      <c r="I58" s="7" t="n">
        <v>485000</v>
      </c>
      <c r="J58" s="4" t="inlineStr"/>
      <c r="K58" s="5" t="inlineStr">
        <is>
          <t>有料+無料。FY26 2Q時点で376,972</t>
        </is>
      </c>
    </row>
    <row r="59">
      <c r="A59" s="6" t="inlineStr">
        <is>
          <t>EBITDA</t>
        </is>
      </c>
      <c r="B59" s="7" t="n">
        <v>1140</v>
      </c>
      <c r="C59" s="7" t="n">
        <v>1740</v>
      </c>
      <c r="D59" s="7" t="n">
        <v>1939</v>
      </c>
      <c r="E59" s="7" t="n">
        <v>2500</v>
      </c>
      <c r="F59" s="7" t="n">
        <v>2900</v>
      </c>
      <c r="G59" s="7" t="n">
        <v>2400</v>
      </c>
      <c r="H59" s="7" t="n">
        <v>3300</v>
      </c>
      <c r="I59" s="7" t="n">
        <v>4400</v>
      </c>
      <c r="J59" s="4" t="inlineStr"/>
      <c r="K59" s="5" t="inlineStr">
        <is>
          <t>営業利益+減価償却費(連結全体)。FY25実は1,939、FY26会社予想は2,500</t>
        </is>
      </c>
    </row>
    <row r="61">
      <c r="A61" s="3" t="inlineStr">
        <is>
          <t>【株価・PER感応度】</t>
        </is>
      </c>
      <c r="J61" s="4" t="inlineStr"/>
      <c r="K61" s="5" t="inlineStr"/>
    </row>
    <row r="62">
      <c r="A62" s="12" t="inlineStr">
        <is>
          <t>発行済株式数 (千株、期末)</t>
        </is>
      </c>
      <c r="B62" s="13" t="n">
        <v>48132</v>
      </c>
      <c r="C62" s="13" t="n">
        <v>48132</v>
      </c>
      <c r="D62" s="13" t="n">
        <v>48132</v>
      </c>
      <c r="E62" s="13" t="n">
        <v>48132</v>
      </c>
      <c r="F62" s="13" t="n">
        <v>48132</v>
      </c>
      <c r="G62" s="13" t="n">
        <v>48132</v>
      </c>
      <c r="H62" s="13" t="n">
        <v>48132</v>
      </c>
      <c r="I62" s="13" t="n">
        <v>48132</v>
      </c>
      <c r="J62" s="14" t="inlineStr"/>
      <c r="K62" s="15" t="inlineStr">
        <is>
          <t>yuho開示。直近5年48,132千株で据置(自己株消却・新株発行なし)</t>
        </is>
      </c>
    </row>
    <row r="63">
      <c r="A63" s="6" t="inlineStr">
        <is>
          <t>EPS (円)</t>
        </is>
      </c>
      <c r="B63" s="25" t="n">
        <v>16.08</v>
      </c>
      <c r="C63" s="25" t="n">
        <v>19.38</v>
      </c>
      <c r="D63" s="25" t="n">
        <v>23.42</v>
      </c>
      <c r="E63" s="25" t="n">
        <v>29.86</v>
      </c>
      <c r="F63" s="25" t="n">
        <v>34.62</v>
      </c>
      <c r="G63" s="25" t="n">
        <v>28.45</v>
      </c>
      <c r="H63" s="25" t="n">
        <v>40.08</v>
      </c>
      <c r="I63" s="25" t="n">
        <v>54.48</v>
      </c>
      <c r="J63" s="4" t="inlineStr"/>
      <c r="K63" s="5" t="inlineStr">
        <is>
          <t>純利益÷発行済株式数。FY23-25はyuho開示と一致。FY28 Base 40.0/Bull 54.4はストーリーmd</t>
        </is>
      </c>
    </row>
    <row r="64">
      <c r="A64" s="16" t="inlineStr">
        <is>
          <t xml:space="preserve">　想定PER ベスト(Bull水準)</t>
        </is>
      </c>
      <c r="B64" s="23" t="n"/>
      <c r="C64" s="23" t="n"/>
      <c r="D64" s="23" t="n"/>
      <c r="E64" s="23" t="n"/>
      <c r="F64" s="23" t="n"/>
      <c r="G64" s="23" t="n"/>
      <c r="H64" s="23" t="n"/>
      <c r="I64" s="23" t="n">
        <v>22</v>
      </c>
      <c r="J64" s="18" t="inlineStr"/>
      <c r="K64" s="19" t="inlineStr">
        <is>
          <t>Bullシナリオ:AI浸透確認でプレミアム。情報通信SaaS OPM30%超で18-25倍が相場、+α</t>
        </is>
      </c>
    </row>
    <row r="65">
      <c r="A65" s="16" t="inlineStr">
        <is>
          <t xml:space="preserve">　想定PER ノーマル(Base水準)</t>
        </is>
      </c>
      <c r="B65" s="23" t="n"/>
      <c r="C65" s="23" t="n"/>
      <c r="D65" s="23" t="n"/>
      <c r="E65" s="23" t="n"/>
      <c r="F65" s="23" t="n"/>
      <c r="G65" s="23" t="n"/>
      <c r="H65" s="23" t="n">
        <v>19</v>
      </c>
      <c r="I65" s="23" t="n"/>
      <c r="J65" s="18" t="inlineStr"/>
      <c r="K65" s="19" t="inlineStr">
        <is>
          <t>Baseシナリオ:現状PER(19.3倍)維持。SaaS中央値かつカナミック直近の典型水準</t>
        </is>
      </c>
    </row>
    <row r="66">
      <c r="A66" s="16" t="inlineStr">
        <is>
          <t xml:space="preserve">　想定PER ワースト(Bear水準)</t>
        </is>
      </c>
      <c r="B66" s="23" t="n"/>
      <c r="C66" s="23" t="n"/>
      <c r="D66" s="23" t="n"/>
      <c r="E66" s="23" t="n"/>
      <c r="F66" s="23" t="n"/>
      <c r="G66" s="23" t="n">
        <v>16</v>
      </c>
      <c r="H66" s="23" t="n"/>
      <c r="I66" s="23" t="n"/>
      <c r="J66" s="18" t="inlineStr"/>
      <c r="K66" s="19" t="inlineStr">
        <is>
          <t>Bearシナリオ:AI浸透遅延でディスカウント。過去レンジ下限14.9倍に若干上乗せ</t>
        </is>
      </c>
    </row>
    <row r="67">
      <c r="A67" s="6" t="inlineStr">
        <is>
          <t>目標株価 Bull (円)</t>
        </is>
      </c>
      <c r="B67" s="7" t="n"/>
      <c r="C67" s="7" t="n"/>
      <c r="D67" s="7" t="n"/>
      <c r="E67" s="7" t="n"/>
      <c r="F67" s="7" t="n"/>
      <c r="G67" s="7" t="n"/>
      <c r="H67" s="7" t="n"/>
      <c r="I67" s="7" t="n">
        <v>1199</v>
      </c>
      <c r="J67" s="4" t="inlineStr"/>
      <c r="K67" s="5" t="inlineStr">
        <is>
          <t>FY28 Bull EPS 54.48 × 22倍 = 1,199円(現値+118%、ストーリー1,197と一致)</t>
        </is>
      </c>
    </row>
    <row r="68">
      <c r="A68" s="6" t="inlineStr">
        <is>
          <t>目標株価 Base (円)</t>
        </is>
      </c>
      <c r="B68" s="7" t="n"/>
      <c r="C68" s="7" t="n"/>
      <c r="D68" s="7" t="n"/>
      <c r="E68" s="7" t="n"/>
      <c r="F68" s="7" t="n"/>
      <c r="G68" s="7" t="n"/>
      <c r="H68" s="7" t="n">
        <v>762</v>
      </c>
      <c r="I68" s="7" t="n"/>
      <c r="J68" s="4" t="inlineStr"/>
      <c r="K68" s="5" t="inlineStr">
        <is>
          <t>FY28 Base EPS 40.08 × 19倍 = 762円(現値+38%、ストーリー760と一致)</t>
        </is>
      </c>
    </row>
    <row r="69">
      <c r="A69" s="6" t="inlineStr">
        <is>
          <t>目標株価 Bear (円)</t>
        </is>
      </c>
      <c r="B69" s="7" t="n"/>
      <c r="C69" s="7" t="n"/>
      <c r="D69" s="7" t="n"/>
      <c r="E69" s="7" t="n"/>
      <c r="F69" s="7" t="n"/>
      <c r="G69" s="7" t="n">
        <v>455</v>
      </c>
      <c r="H69" s="7" t="n"/>
      <c r="I69" s="7" t="n"/>
      <c r="J69" s="4" t="inlineStr"/>
      <c r="K69" s="5" t="inlineStr">
        <is>
          <t>FY28 Bear EPS 28.45 × 16倍 = 455円(現値-17%、ストーリー454と一致)</t>
        </is>
      </c>
    </row>
    <row r="71">
      <c r="A71" s="3" t="inlineStr">
        <is>
          <t>【「織り込み済み?」反論】</t>
        </is>
      </c>
      <c r="J71" s="4" t="inlineStr"/>
      <c r="K71" s="5" t="inlineStr"/>
    </row>
    <row r="72">
      <c r="A72" s="12" t="inlineStr">
        <is>
          <t>時価総額 (百万円、現値据置)</t>
        </is>
      </c>
      <c r="B72" s="13" t="n">
        <v>26473</v>
      </c>
      <c r="C72" s="13" t="n">
        <v>26473</v>
      </c>
      <c r="D72" s="13" t="n">
        <v>26473</v>
      </c>
      <c r="E72" s="13" t="n">
        <v>26473</v>
      </c>
      <c r="F72" s="13" t="n">
        <v>26473</v>
      </c>
      <c r="G72" s="13" t="n">
        <v>26473</v>
      </c>
      <c r="H72" s="13" t="n">
        <v>26473</v>
      </c>
      <c r="I72" s="13" t="n">
        <v>26473</v>
      </c>
      <c r="J72" s="14" t="inlineStr"/>
      <c r="K72" s="15" t="inlineStr">
        <is>
          <t>2026年5月13日株価550円 × 48,132千株 = 26,473百万円で全期間固定</t>
        </is>
      </c>
    </row>
    <row r="73">
      <c r="A73" s="8" t="inlineStr">
        <is>
          <t xml:space="preserve">　連結純利益 Base (再掲)</t>
        </is>
      </c>
      <c r="B73" s="21" t="n">
        <v>763</v>
      </c>
      <c r="C73" s="21" t="n">
        <v>920</v>
      </c>
      <c r="D73" s="21" t="n">
        <v>1112</v>
      </c>
      <c r="E73" s="21" t="n">
        <v>1437</v>
      </c>
      <c r="F73" s="21" t="n">
        <v>1666</v>
      </c>
      <c r="G73" s="21" t="n">
        <v>1369</v>
      </c>
      <c r="H73" s="21" t="n">
        <v>1929</v>
      </c>
      <c r="I73" s="21" t="n">
        <v>2622</v>
      </c>
      <c r="J73" s="10" t="inlineStr"/>
      <c r="K73" s="11" t="inlineStr">
        <is>
          <t>上記P&amp;Lより再掲</t>
        </is>
      </c>
    </row>
    <row r="74">
      <c r="A74" s="8" t="inlineStr">
        <is>
          <t xml:space="preserve">　時価総額据置PER (倍)</t>
        </is>
      </c>
      <c r="B74" s="26" t="n">
        <v>34.7</v>
      </c>
      <c r="C74" s="26" t="n">
        <v>28.8</v>
      </c>
      <c r="D74" s="26" t="n">
        <v>23.8</v>
      </c>
      <c r="E74" s="26" t="n">
        <v>18.4</v>
      </c>
      <c r="F74" s="26" t="n">
        <v>15.9</v>
      </c>
      <c r="G74" s="26" t="n">
        <v>19.3</v>
      </c>
      <c r="H74" s="26" t="n">
        <v>13.7</v>
      </c>
      <c r="I74" s="26" t="n">
        <v>10.1</v>
      </c>
      <c r="J74" s="10" t="inlineStr"/>
      <c r="K74" s="11" t="inlineStr">
        <is>
          <t>時価総額 ÷ 純利益。株価変わらず利益増ならPERが機械的に低下→現値に純利益成長は織込まれていない</t>
        </is>
      </c>
    </row>
    <row r="76">
      <c r="A76" s="3" t="inlineStr">
        <is>
          <t>【ピア比較 (PER)】※純粋同業未上場、多軸選定</t>
        </is>
      </c>
      <c r="J76" s="4" t="inlineStr"/>
      <c r="K76" s="5" t="inlineStr"/>
    </row>
    <row r="77">
      <c r="A77" s="12" t="inlineStr">
        <is>
          <t>カナミック (3939) 現状PER</t>
        </is>
      </c>
      <c r="B77" s="27" t="n"/>
      <c r="C77" s="27" t="n"/>
      <c r="D77" s="27" t="n"/>
      <c r="E77" s="27" t="n">
        <v>19.3</v>
      </c>
      <c r="F77" s="27" t="n"/>
      <c r="G77" s="27" t="n"/>
      <c r="H77" s="27" t="n"/>
      <c r="I77" s="27" t="n"/>
      <c r="J77" s="14" t="inlineStr"/>
      <c r="K77" s="15" t="inlineStr">
        <is>
          <t>株価550円 ÷ FY26予EPS 28.46円 = 19.3倍(2026年5月13日時点)</t>
        </is>
      </c>
    </row>
    <row r="78">
      <c r="A78" s="16" t="inlineStr">
        <is>
          <t xml:space="preserve">　ピア① エス・エム・エス (2175)</t>
        </is>
      </c>
      <c r="B78" s="23" t="n"/>
      <c r="C78" s="23" t="n"/>
      <c r="D78" s="23" t="n"/>
      <c r="E78" s="23" t="inlineStr">
        <is>
          <t>TODO</t>
        </is>
      </c>
      <c r="F78" s="23" t="n"/>
      <c r="G78" s="23" t="n"/>
      <c r="H78" s="23" t="n"/>
      <c r="I78" s="23" t="n"/>
      <c r="J78" s="18" t="inlineStr"/>
      <c r="K78" s="19" t="inlineStr">
        <is>
          <t>医療介護領域のヘルスケアSaaS+人材プラットフォーム。軸:同業界(介護DX)。直近実績PERをIR確認推奨</t>
        </is>
      </c>
    </row>
    <row r="79">
      <c r="A79" s="16" t="inlineStr">
        <is>
          <t xml:space="preserve">　ピア② ラクス (3923)</t>
        </is>
      </c>
      <c r="B79" s="23" t="n"/>
      <c r="C79" s="23" t="n"/>
      <c r="D79" s="23" t="n"/>
      <c r="E79" s="23" t="inlineStr">
        <is>
          <t>TODO</t>
        </is>
      </c>
      <c r="F79" s="23" t="n"/>
      <c r="G79" s="23" t="n"/>
      <c r="H79" s="23" t="n"/>
      <c r="I79" s="23" t="n"/>
      <c r="J79" s="18" t="inlineStr"/>
      <c r="K79" s="19" t="inlineStr">
        <is>
          <t>中小事業者向け低単価SaaS(楽楽精算等)。軸:ビジネスモデル類似(課金1,500円帯×多数の小口顧客)。高成長SaaSプレミアム参考</t>
        </is>
      </c>
    </row>
    <row r="80">
      <c r="A80" s="16" t="inlineStr">
        <is>
          <t xml:space="preserve">　ピア③ JMDC (4483)</t>
        </is>
      </c>
      <c r="B80" s="23" t="n"/>
      <c r="C80" s="23" t="n"/>
      <c r="D80" s="23" t="n"/>
      <c r="E80" s="23" t="inlineStr">
        <is>
          <t>TODO</t>
        </is>
      </c>
      <c r="F80" s="23" t="n"/>
      <c r="G80" s="23" t="n"/>
      <c r="H80" s="23" t="n"/>
      <c r="I80" s="23" t="n"/>
      <c r="J80" s="18" t="inlineStr"/>
      <c r="K80" s="19" t="inlineStr">
        <is>
          <t>医療データプラットフォーム。軸:制度受益(医療DX政策・基盤)+データMoat。直近FY26予想ベースPERをIR確認推奨</t>
        </is>
      </c>
    </row>
    <row r="81">
      <c r="A81" s="16" t="inlineStr">
        <is>
          <t xml:space="preserve">　ピア中央値(参考レンジ20-30倍)</t>
        </is>
      </c>
      <c r="B81" s="23" t="n"/>
      <c r="C81" s="23" t="n"/>
      <c r="D81" s="23" t="n"/>
      <c r="E81" s="23" t="inlineStr">
        <is>
          <t>TODO</t>
        </is>
      </c>
      <c r="F81" s="23" t="n"/>
      <c r="G81" s="23" t="n"/>
      <c r="H81" s="23" t="n"/>
      <c r="I81" s="23" t="n"/>
      <c r="J81" s="18" t="inlineStr"/>
      <c r="K81" s="19" t="inlineStr">
        <is>
          <t>プライム情報通信SaaS(OPM30%超・増益率20%超)のPER相場18-25倍を参考。実数値は要IR確認</t>
        </is>
      </c>
    </row>
    <row r="83">
      <c r="A83" s="3" t="inlineStr">
        <is>
          <t>【仮定根拠の要約】</t>
        </is>
      </c>
      <c r="J83" s="4" t="inlineStr"/>
      <c r="K83" s="5" t="inlineStr"/>
    </row>
    <row r="84">
      <c r="A84" s="6" t="inlineStr">
        <is>
          <t>業績タイプ判定</t>
        </is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4" t="inlineStr"/>
      <c r="K84" s="5" t="inlineStr">
        <is>
          <t>SaaS型(ユーザー数×ARPU×12)。AlbaLink型(1人粗利×人数)+セグメント型のハイブリッド。主因数: 有料ID数とARPU</t>
        </is>
      </c>
    </row>
    <row r="85">
      <c r="A85" s="6" t="inlineStr">
        <is>
          <t>ストーリー核心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4" t="inlineStr"/>
      <c r="K85" s="5" t="inlineStr">
        <is>
          <t>既存22万有料ID×AI課金で獲得コストゼロのARPU階段上昇。2027年改定+介護情報基盤稼働の3つが2026-27に重なる構造変化</t>
        </is>
      </c>
    </row>
    <row r="86">
      <c r="A86" s="6" t="inlineStr">
        <is>
          <t>最大の独立変数</t>
        </is>
      </c>
      <c r="B86" s="7" t="n"/>
      <c r="C86" s="7" t="n"/>
      <c r="D86" s="7" t="n"/>
      <c r="E86" s="7" t="n"/>
      <c r="F86" s="7" t="n"/>
      <c r="G86" s="7" t="n"/>
      <c r="H86" s="7" t="n"/>
      <c r="I86" s="7" t="n"/>
      <c r="J86" s="4" t="inlineStr"/>
      <c r="K86" s="5" t="inlineStr">
        <is>
          <t>(1)AI機能浸透率 (2)AI平均単価 (3)有料ユーザーCAGR。この3つでBear-Bullレンジが決まる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2026-05-19T02:32:18Z</dcterms:created>
  <dcterms:modified xsi:type="dcterms:W3CDTF">2026-05-19T02:32:18Z</dcterms:modified>
</cp:coreProperties>
</file>