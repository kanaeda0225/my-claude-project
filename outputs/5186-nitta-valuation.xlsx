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186_nitta_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  <sz val="11"/>
    </font>
    <font>
      <b val="1"/>
      <color rgb="00000000"/>
    </font>
    <font>
      <color rgb="00000000"/>
      <sz val="11"/>
    </font>
    <font>
      <color rgb="00000000"/>
    </font>
    <font>
      <b val="1"/>
      <color rgb="001F4E78"/>
      <sz val="11"/>
    </font>
    <font>
      <b val="1"/>
      <color rgb="001F4E78"/>
    </font>
    <font>
      <color rgb="001F4E78"/>
      <sz val="11"/>
    </font>
    <font>
      <color rgb="001F4E78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連結 売上高・営業利益・経常利益・純利益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'5186_nitta_valuation'!A3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'5186_nitta_valuation'!$B$3:$G$3</f>
            </numRef>
          </val>
        </ser>
        <ser>
          <idx val="1"/>
          <order val="1"/>
          <tx>
            <strRef>
              <f>'5186_nitta_valuation'!A36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'5186_nitta_valuation'!$B$36:$G$36</f>
            </numRef>
          </val>
        </ser>
        <ser>
          <idx val="2"/>
          <order val="2"/>
          <tx>
            <strRef>
              <f>'5186_nitta_valuation'!A58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'5186_nitta_valuation'!$B$58:$G$58</f>
            </numRef>
          </val>
        </ser>
        <ser>
          <idx val="3"/>
          <order val="3"/>
          <tx>
            <strRef>
              <f>'5186_nitta_valuation'!A64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'5186_nitta_valuation'!$B$64:$G$64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'5186_nitta_valuation'!A37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val>
            <numRef>
              <f>'5186_nitta_valuation'!$B$37:$G$37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持分法投資利益の分解 (GUA vs NDI)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'5186_nitta_valuation'!A42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'5186_nitta_valuation'!$B$42:$G$42</f>
            </numRef>
          </val>
        </ser>
        <ser>
          <idx val="1"/>
          <order val="1"/>
          <tx>
            <strRef>
              <f>'5186_nitta_valuation'!A41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'5186_nitta_valuation'!$B$41:$G$41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目標株価シナリオ別 (FY3/28)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'5186_nitta_valuation'!A74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'5186_nitta_valuation'!$B$74:$G$74</f>
            </numRef>
          </val>
        </ser>
        <ser>
          <idx val="1"/>
          <order val="1"/>
          <tx>
            <strRef>
              <f>'5186_nitta_valuation'!A75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'5186_nitta_valuation'!$B$75:$G$75</f>
            </numRef>
          </val>
        </ser>
        <ser>
          <idx val="2"/>
          <order val="2"/>
          <tx>
            <strRef>
              <f>'5186_nitta_valuation'!A76</f>
            </strRef>
          </tx>
          <spPr>
            <a:ln xmlns:a="http://schemas.openxmlformats.org/drawingml/2006/main">
              <a:prstDash val="solid"/>
            </a:ln>
          </spPr>
          <cat>
            <numRef>
              <f>'5186_nitta_valuation'!$B$1:$G$1</f>
            </numRef>
          </cat>
          <val>
            <numRef>
              <f>'5186_nitta_valuation'!$B$76:$G$76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41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従属変数=黒、独立変数=青</t>
        </is>
      </c>
      <c r="B1" s="2" t="inlineStr">
        <is>
          <t>FY3/23 実</t>
        </is>
      </c>
      <c r="C1" s="2" t="inlineStr">
        <is>
          <t>FY3/24 実</t>
        </is>
      </c>
      <c r="D1" s="2" t="inlineStr">
        <is>
          <t>FY3/25 実</t>
        </is>
      </c>
      <c r="E1" s="2" t="inlineStr">
        <is>
          <t>FY3/26 実</t>
        </is>
      </c>
      <c r="F1" s="2" t="inlineStr">
        <is>
          <t>FY3/27 予(会社)</t>
        </is>
      </c>
      <c r="G1" s="2" t="inlineStr">
        <is>
          <t>FY3/28 予(Base)</t>
        </is>
      </c>
      <c r="H1" s="2" t="inlineStr">
        <is>
          <t>重要度</t>
        </is>
      </c>
      <c r="I1" s="2" t="inlineStr">
        <is>
          <t>備考</t>
        </is>
      </c>
    </row>
    <row r="2">
      <c r="A2" s="3" t="inlineStr">
        <is>
          <t>【売上高 (連結)】</t>
        </is>
      </c>
      <c r="H2" s="4" t="inlineStr"/>
      <c r="I2" s="5" t="inlineStr"/>
    </row>
    <row r="3">
      <c r="A3" s="6" t="inlineStr">
        <is>
          <t>売上高 合計 (百万円)</t>
        </is>
      </c>
      <c r="B3" s="7" t="n">
        <v>88000</v>
      </c>
      <c r="C3" s="7" t="n">
        <v>88609</v>
      </c>
      <c r="D3" s="7" t="n">
        <v>90276</v>
      </c>
      <c r="E3" s="7" t="n">
        <v>91834</v>
      </c>
      <c r="F3" s="7" t="n">
        <v>94000</v>
      </c>
      <c r="G3" s="7" t="n">
        <v>96200</v>
      </c>
      <c r="H3" s="4" t="inlineStr">
        <is>
          <t>★</t>
        </is>
      </c>
      <c r="I3" s="5" t="inlineStr">
        <is>
          <t>FY3/23-25: yuho開示 / FY3/26: 決算説明資料(2026/5発表) / FY3/27: 会社予想(94,000) / FY3/28 Base: markdown シナリオ(+2.3%)</t>
        </is>
      </c>
    </row>
    <row r="4">
      <c r="A4" s="8" t="inlineStr">
        <is>
          <t xml:space="preserve">　増収率 (YoY)</t>
        </is>
      </c>
      <c r="B4" s="9" t="n"/>
      <c r="C4" s="9" t="n">
        <v>0.007</v>
      </c>
      <c r="D4" s="9" t="n">
        <v>0.019</v>
      </c>
      <c r="E4" s="9" t="n">
        <v>0.017</v>
      </c>
      <c r="F4" s="9" t="n">
        <v>0.024</v>
      </c>
      <c r="G4" s="9" t="n">
        <v>0.023</v>
      </c>
      <c r="H4" s="10" t="inlineStr"/>
      <c r="I4" s="11" t="inlineStr">
        <is>
          <t>連結売上の前年比。本体事業は成熟、年率1-3%の低成長</t>
        </is>
      </c>
    </row>
    <row r="6">
      <c r="A6" s="3" t="inlineStr">
        <is>
          <t>【セグメント別売上 (連結)】</t>
        </is>
      </c>
      <c r="H6" s="4" t="inlineStr"/>
      <c r="I6" s="5" t="inlineStr"/>
    </row>
    <row r="7">
      <c r="A7" s="12" t="inlineStr">
        <is>
          <t>ベルト・ゴム製品事業</t>
        </is>
      </c>
      <c r="B7" s="13" t="n">
        <v>28600</v>
      </c>
      <c r="C7" s="13" t="n">
        <v>29535</v>
      </c>
      <c r="D7" s="13" t="n">
        <v>29684</v>
      </c>
      <c r="E7" s="13" t="n">
        <v>30597</v>
      </c>
      <c r="F7" s="13" t="n">
        <v>31500</v>
      </c>
      <c r="G7" s="13" t="n">
        <v>32000</v>
      </c>
      <c r="H7" s="14" t="inlineStr">
        <is>
          <t>★</t>
        </is>
      </c>
      <c r="I7" s="15" t="inlineStr">
        <is>
          <t>yuho セグメント情報。物流業界向けベルトが堅調。FY3/27+は会社想定+α</t>
        </is>
      </c>
    </row>
    <row r="8">
      <c r="A8" s="12" t="inlineStr">
        <is>
          <t>ホース・チューブ製品事業</t>
        </is>
      </c>
      <c r="B8" s="13" t="n">
        <v>33251</v>
      </c>
      <c r="C8" s="13" t="n">
        <v>31697</v>
      </c>
      <c r="D8" s="13" t="n">
        <v>31518</v>
      </c>
      <c r="E8" s="13" t="n">
        <v>32983</v>
      </c>
      <c r="F8" s="13" t="n">
        <v>33500</v>
      </c>
      <c r="G8" s="13" t="n">
        <v>34000</v>
      </c>
      <c r="H8" s="14" t="inlineStr">
        <is>
          <t>★</t>
        </is>
      </c>
      <c r="I8" s="15" t="inlineStr">
        <is>
          <t>yuho。半導体製造装置向けが期末にかけて回復。FY3/26で+4.7%</t>
        </is>
      </c>
    </row>
    <row r="9">
      <c r="A9" s="12" t="inlineStr">
        <is>
          <t>化工品事業</t>
        </is>
      </c>
      <c r="B9" s="13" t="n">
        <v>11597</v>
      </c>
      <c r="C9" s="13" t="n">
        <v>11822</v>
      </c>
      <c r="D9" s="13" t="n">
        <v>13029</v>
      </c>
      <c r="E9" s="13" t="n">
        <v>11681</v>
      </c>
      <c r="F9" s="13" t="n">
        <v>12000</v>
      </c>
      <c r="G9" s="13" t="n">
        <v>12300</v>
      </c>
      <c r="H9" s="14" t="inlineStr"/>
      <c r="I9" s="15" t="inlineStr">
        <is>
          <t>yuho。FY3/25は半導体回復で+10.2%、FY3/26は反動</t>
        </is>
      </c>
    </row>
    <row r="10">
      <c r="A10" s="12" t="inlineStr">
        <is>
          <t>その他産業用製品事業</t>
        </is>
      </c>
      <c r="B10" s="13" t="n">
        <v>10449</v>
      </c>
      <c r="C10" s="13" t="n">
        <v>11475</v>
      </c>
      <c r="D10" s="13" t="n">
        <v>11527</v>
      </c>
      <c r="E10" s="13" t="n">
        <v>11739</v>
      </c>
      <c r="F10" s="13" t="n">
        <v>12000</v>
      </c>
      <c r="G10" s="13" t="n">
        <v>12200</v>
      </c>
      <c r="H10" s="14" t="inlineStr"/>
      <c r="I10" s="15" t="inlineStr">
        <is>
          <t>yuho。空調製品(半導体クリーンルーム向け)を含む</t>
        </is>
      </c>
    </row>
    <row r="11">
      <c r="A11" s="12" t="inlineStr">
        <is>
          <t>不動産・経営指導・その他</t>
        </is>
      </c>
      <c r="B11" s="13" t="n">
        <v>4100</v>
      </c>
      <c r="C11" s="13" t="n">
        <v>4076</v>
      </c>
      <c r="D11" s="13" t="n">
        <v>4516</v>
      </c>
      <c r="E11" s="13" t="n">
        <v>4831</v>
      </c>
      <c r="F11" s="13" t="n">
        <v>5000</v>
      </c>
      <c r="G11" s="13" t="n">
        <v>5700</v>
      </c>
      <c r="H11" s="14" t="inlineStr"/>
      <c r="I11" s="15" t="inlineStr">
        <is>
          <t>不動産+経営指導+運転教習等。経営指導は関連会社業績連動</t>
        </is>
      </c>
    </row>
    <row r="13">
      <c r="A13" s="3" t="inlineStr">
        <is>
          <t>【セグメント利益】</t>
        </is>
      </c>
      <c r="H13" s="4" t="inlineStr"/>
      <c r="I13" s="5" t="inlineStr"/>
    </row>
    <row r="14">
      <c r="A14" s="12" t="inlineStr">
        <is>
          <t>ベルト・ゴム</t>
        </is>
      </c>
      <c r="B14" s="13" t="n">
        <v>3122</v>
      </c>
      <c r="C14" s="13" t="n">
        <v>3438</v>
      </c>
      <c r="D14" s="13" t="n">
        <v>3473</v>
      </c>
      <c r="E14" s="13" t="n">
        <v>3467</v>
      </c>
      <c r="F14" s="13" t="n">
        <v>3500</v>
      </c>
      <c r="G14" s="13" t="n">
        <v>3700</v>
      </c>
      <c r="H14" s="14" t="inlineStr"/>
      <c r="I14" s="15" t="inlineStr">
        <is>
          <t>yuho セグメント。安定的にOPM 10%超</t>
        </is>
      </c>
    </row>
    <row r="15">
      <c r="A15" s="12" t="inlineStr">
        <is>
          <t>ホース・チューブ</t>
        </is>
      </c>
      <c r="B15" s="13" t="n">
        <v>935</v>
      </c>
      <c r="C15" s="13" t="n">
        <v>7</v>
      </c>
      <c r="D15" s="13" t="n">
        <v>147</v>
      </c>
      <c r="E15" s="13" t="n">
        <v>1073</v>
      </c>
      <c r="F15" s="13" t="n">
        <v>1500</v>
      </c>
      <c r="G15" s="13" t="n">
        <v>1900</v>
      </c>
      <c r="H15" s="14" t="inlineStr">
        <is>
          <t>★</t>
        </is>
      </c>
      <c r="I15" s="15" t="inlineStr">
        <is>
          <t>yuho。FY3/24は原料高で大幅減益、価格転嫁進捗で回復中</t>
        </is>
      </c>
    </row>
    <row r="16">
      <c r="A16" s="12" t="inlineStr">
        <is>
          <t>化工品</t>
        </is>
      </c>
      <c r="B16" s="13" t="n">
        <v>202</v>
      </c>
      <c r="C16" s="13" t="n">
        <v>454</v>
      </c>
      <c r="D16" s="13" t="n">
        <v>1015</v>
      </c>
      <c r="E16" s="13" t="n">
        <v>929</v>
      </c>
      <c r="F16" s="13" t="n">
        <v>1000</v>
      </c>
      <c r="G16" s="13" t="n">
        <v>1100</v>
      </c>
      <c r="H16" s="14" t="inlineStr"/>
      <c r="I16" s="15" t="inlineStr">
        <is>
          <t>yuho。半導体ミックス改善</t>
        </is>
      </c>
    </row>
    <row r="17">
      <c r="A17" s="12" t="inlineStr">
        <is>
          <t>その他産業用 + 不動産 + 経営指導 + その他</t>
        </is>
      </c>
      <c r="B17" s="13" t="n">
        <v>2293</v>
      </c>
      <c r="C17" s="13" t="n">
        <v>2267</v>
      </c>
      <c r="D17" s="13" t="n">
        <v>2478</v>
      </c>
      <c r="E17" s="13" t="n">
        <v>2506</v>
      </c>
      <c r="F17" s="13" t="n">
        <v>2500</v>
      </c>
      <c r="G17" s="13" t="n">
        <v>2700</v>
      </c>
      <c r="H17" s="14" t="inlineStr"/>
      <c r="I17" s="15" t="inlineStr">
        <is>
          <t>yuho セグメント合算。半導体クリーンルーム空調、賃貸、関連会社経営指導等</t>
        </is>
      </c>
    </row>
    <row r="18">
      <c r="A18" s="12" t="inlineStr">
        <is>
          <t>全社費用・調整</t>
        </is>
      </c>
      <c r="B18" s="13" t="n">
        <v>-1566</v>
      </c>
      <c r="C18" s="13" t="n">
        <v>-1749</v>
      </c>
      <c r="D18" s="13" t="n">
        <v>-1960</v>
      </c>
      <c r="E18" s="13" t="n">
        <v>-2114</v>
      </c>
      <c r="F18" s="13" t="n">
        <v>-2200</v>
      </c>
      <c r="G18" s="13" t="n">
        <v>-2200</v>
      </c>
      <c r="H18" s="14" t="inlineStr"/>
      <c r="I18" s="15" t="inlineStr">
        <is>
          <t>本社管理部門費用等。売上拡大に伴い緩やかに増加</t>
        </is>
      </c>
    </row>
    <row r="20">
      <c r="A20" s="3" t="inlineStr">
        <is>
          <t>【売上原価・粗利 (連結)】</t>
        </is>
      </c>
      <c r="H20" s="4" t="inlineStr"/>
      <c r="I20" s="5" t="inlineStr"/>
    </row>
    <row r="21">
      <c r="A21" s="6" t="inlineStr">
        <is>
          <t>売上原価</t>
        </is>
      </c>
      <c r="B21" s="7" t="n">
        <v>65537</v>
      </c>
      <c r="C21" s="7" t="n">
        <v>66278</v>
      </c>
      <c r="D21" s="7" t="n">
        <v>66030</v>
      </c>
      <c r="E21" s="7" t="n">
        <v>65938</v>
      </c>
      <c r="F21" s="7" t="n">
        <v>67000</v>
      </c>
      <c r="G21" s="7" t="n">
        <v>68500</v>
      </c>
      <c r="H21" s="4" t="inlineStr"/>
      <c r="I21" s="5" t="inlineStr">
        <is>
          <t>yuho 連結P&amp;L。FY3/26は決算説明資料(売上総利益 25,896百万円から逆算)</t>
        </is>
      </c>
    </row>
    <row r="22">
      <c r="A22" s="6" t="inlineStr">
        <is>
          <t>売上総利益</t>
        </is>
      </c>
      <c r="B22" s="7" t="n">
        <v>22463</v>
      </c>
      <c r="C22" s="7" t="n">
        <v>22331</v>
      </c>
      <c r="D22" s="7" t="n">
        <v>24246</v>
      </c>
      <c r="E22" s="7" t="n">
        <v>25896</v>
      </c>
      <c r="F22" s="7" t="n">
        <v>27000</v>
      </c>
      <c r="G22" s="7" t="n">
        <v>27700</v>
      </c>
      <c r="H22" s="4" t="inlineStr">
        <is>
          <t>★</t>
        </is>
      </c>
      <c r="I22" s="5" t="inlineStr">
        <is>
          <t>売上高 - 売上原価</t>
        </is>
      </c>
    </row>
    <row r="23">
      <c r="A23" s="8" t="inlineStr">
        <is>
          <t xml:space="preserve">　粗利率</t>
        </is>
      </c>
      <c r="B23" s="9" t="n">
        <v>0.2553</v>
      </c>
      <c r="C23" s="9" t="n">
        <v>0.252</v>
      </c>
      <c r="D23" s="9" t="n">
        <v>0.2686</v>
      </c>
      <c r="E23" s="9" t="n">
        <v>0.282</v>
      </c>
      <c r="F23" s="9" t="n">
        <v>0.2872</v>
      </c>
      <c r="G23" s="9" t="n">
        <v>0.288</v>
      </c>
      <c r="H23" s="10" t="inlineStr">
        <is>
          <t>★★</t>
        </is>
      </c>
      <c r="I23" s="11" t="inlineStr">
        <is>
          <t>原材料価格転嫁の進捗、半導体製造装置向けプロダクトミックス改善で26→28%に上昇</t>
        </is>
      </c>
    </row>
    <row r="25">
      <c r="A25" s="3" t="inlineStr">
        <is>
          <t>【販管費 (連結)】</t>
        </is>
      </c>
      <c r="H25" s="4" t="inlineStr"/>
      <c r="I25" s="5" t="inlineStr"/>
    </row>
    <row r="26">
      <c r="A26" s="6" t="inlineStr">
        <is>
          <t>販管費 合計</t>
        </is>
      </c>
      <c r="B26" s="7" t="n">
        <v>17474</v>
      </c>
      <c r="C26" s="7" t="n">
        <v>17910</v>
      </c>
      <c r="D26" s="7" t="n">
        <v>19090</v>
      </c>
      <c r="E26" s="7" t="n">
        <v>20034</v>
      </c>
      <c r="F26" s="7" t="n">
        <v>20800</v>
      </c>
      <c r="G26" s="7" t="n">
        <v>20200</v>
      </c>
      <c r="H26" s="4" t="inlineStr"/>
      <c r="I26" s="5" t="inlineStr">
        <is>
          <t>yuho P&amp;L。FY3/26は決算説明資料(売上総利益25,896 - 営業利益5,862)</t>
        </is>
      </c>
    </row>
    <row r="27">
      <c r="A27" s="16" t="inlineStr">
        <is>
          <t xml:space="preserve">　運賃及び賃借料</t>
        </is>
      </c>
      <c r="B27" s="17" t="n">
        <v>2932</v>
      </c>
      <c r="C27" s="17" t="n">
        <v>2549</v>
      </c>
      <c r="D27" s="17" t="n">
        <v>2631</v>
      </c>
      <c r="E27" s="17" t="n">
        <v>2700</v>
      </c>
      <c r="F27" s="17" t="n">
        <v>2800</v>
      </c>
      <c r="G27" s="17" t="n">
        <v>2900</v>
      </c>
      <c r="H27" s="18" t="inlineStr"/>
      <c r="I27" s="19" t="inlineStr">
        <is>
          <t>yuho 注記。FY3/26以降は売上比例で推計</t>
        </is>
      </c>
    </row>
    <row r="28">
      <c r="A28" s="16" t="inlineStr">
        <is>
          <t xml:space="preserve">　従業員給料及び賞与</t>
        </is>
      </c>
      <c r="B28" s="17" t="n">
        <v>5597</v>
      </c>
      <c r="C28" s="17" t="n">
        <v>5669</v>
      </c>
      <c r="D28" s="17" t="n">
        <v>5967</v>
      </c>
      <c r="E28" s="17" t="n">
        <v>6200</v>
      </c>
      <c r="F28" s="17" t="n">
        <v>6400</v>
      </c>
      <c r="G28" s="17" t="n">
        <v>6500</v>
      </c>
      <c r="H28" s="18" t="inlineStr"/>
      <c r="I28" s="19" t="inlineStr">
        <is>
          <t>yuho 注記。年率+3〜5%で上昇トレンド</t>
        </is>
      </c>
    </row>
    <row r="29">
      <c r="A29" s="16" t="inlineStr">
        <is>
          <t xml:space="preserve">　賞与引当金繰入額</t>
        </is>
      </c>
      <c r="B29" s="17" t="n">
        <v>589</v>
      </c>
      <c r="C29" s="17" t="n">
        <v>525</v>
      </c>
      <c r="D29" s="17" t="n">
        <v>578</v>
      </c>
      <c r="E29" s="17" t="n">
        <v>600</v>
      </c>
      <c r="F29" s="17" t="n">
        <v>620</v>
      </c>
      <c r="G29" s="17" t="n">
        <v>640</v>
      </c>
      <c r="H29" s="18" t="inlineStr"/>
      <c r="I29" s="19" t="inlineStr">
        <is>
          <t>yuho 注記。給料に概ね比例</t>
        </is>
      </c>
    </row>
    <row r="30">
      <c r="A30" s="16" t="inlineStr">
        <is>
          <t xml:space="preserve">　退職給付費用</t>
        </is>
      </c>
      <c r="B30" s="17" t="n">
        <v>200</v>
      </c>
      <c r="C30" s="17" t="n">
        <v>230</v>
      </c>
      <c r="D30" s="17" t="n">
        <v>165</v>
      </c>
      <c r="E30" s="17" t="n">
        <v>200</v>
      </c>
      <c r="F30" s="17" t="n">
        <v>200</v>
      </c>
      <c r="G30" s="17" t="n">
        <v>200</v>
      </c>
      <c r="H30" s="18" t="inlineStr"/>
      <c r="I30" s="19" t="inlineStr">
        <is>
          <t>yuho 注記。年度変動あるが据置想定</t>
        </is>
      </c>
    </row>
    <row r="31">
      <c r="A31" s="16" t="inlineStr">
        <is>
          <t xml:space="preserve">　貸倒引当金繰入額</t>
        </is>
      </c>
      <c r="B31" s="17" t="n">
        <v>43</v>
      </c>
      <c r="C31" s="17" t="n">
        <v>-2</v>
      </c>
      <c r="D31" s="17" t="n">
        <v>1</v>
      </c>
      <c r="E31" s="17" t="n">
        <v>0</v>
      </c>
      <c r="F31" s="17" t="n">
        <v>0</v>
      </c>
      <c r="G31" s="17" t="n">
        <v>0</v>
      </c>
      <c r="H31" s="18" t="inlineStr"/>
      <c r="I31" s="19" t="inlineStr">
        <is>
          <t>yuho 注記。重要性低し</t>
        </is>
      </c>
    </row>
    <row r="32">
      <c r="A32" s="16" t="inlineStr">
        <is>
          <t xml:space="preserve">　研究開発費</t>
        </is>
      </c>
      <c r="B32" s="17" t="n">
        <v>1825</v>
      </c>
      <c r="C32" s="17" t="n">
        <v>2058</v>
      </c>
      <c r="D32" s="17" t="n">
        <v>2027</v>
      </c>
      <c r="E32" s="17" t="n">
        <v>2283</v>
      </c>
      <c r="F32" s="17" t="n">
        <v>2000</v>
      </c>
      <c r="G32" s="17" t="n">
        <v>2200</v>
      </c>
      <c r="H32" s="18" t="inlineStr"/>
      <c r="I32" s="19" t="inlineStr">
        <is>
          <t>yuho 注記。FY3/27会社予想2,000、FY3/28はBase想定</t>
        </is>
      </c>
    </row>
    <row r="33">
      <c r="A33" s="8" t="inlineStr">
        <is>
          <t xml:space="preserve">　その他販管費</t>
        </is>
      </c>
      <c r="B33" s="20" t="n">
        <v>6288</v>
      </c>
      <c r="C33" s="20" t="n">
        <v>6881</v>
      </c>
      <c r="D33" s="20" t="n">
        <v>7722</v>
      </c>
      <c r="E33" s="20" t="n">
        <v>8051</v>
      </c>
      <c r="F33" s="20" t="n">
        <v>8780</v>
      </c>
      <c r="G33" s="20" t="n">
        <v>7760</v>
      </c>
      <c r="H33" s="10" t="inlineStr"/>
      <c r="I33" s="11" t="inlineStr">
        <is>
          <t>販管費合計 - 上記主要費目。減価償却・広告・出張等</t>
        </is>
      </c>
    </row>
    <row r="35">
      <c r="A35" s="3" t="inlineStr">
        <is>
          <t>【営業利益 (連結)】</t>
        </is>
      </c>
      <c r="H35" s="4" t="inlineStr"/>
      <c r="I35" s="5" t="inlineStr"/>
    </row>
    <row r="36">
      <c r="A36" s="6" t="inlineStr">
        <is>
          <t>営業利益</t>
        </is>
      </c>
      <c r="B36" s="7" t="n">
        <v>4989</v>
      </c>
      <c r="C36" s="7" t="n">
        <v>4421</v>
      </c>
      <c r="D36" s="7" t="n">
        <v>5155</v>
      </c>
      <c r="E36" s="7" t="n">
        <v>5862</v>
      </c>
      <c r="F36" s="7" t="n">
        <v>6200</v>
      </c>
      <c r="G36" s="7" t="n">
        <v>7500</v>
      </c>
      <c r="H36" s="4" t="inlineStr">
        <is>
          <t>★★</t>
        </is>
      </c>
      <c r="I36" s="5" t="inlineStr">
        <is>
          <t>売上総利益 - 販管費 / FY3/27は会社予想 / FY3/28はBaseシナリオ(+27.9%)</t>
        </is>
      </c>
    </row>
    <row r="37">
      <c r="A37" s="8" t="inlineStr">
        <is>
          <t xml:space="preserve">　営業利益率</t>
        </is>
      </c>
      <c r="B37" s="9" t="n">
        <v>0.0567</v>
      </c>
      <c r="C37" s="9" t="n">
        <v>0.0499</v>
      </c>
      <c r="D37" s="9" t="n">
        <v>0.0571</v>
      </c>
      <c r="E37" s="9" t="n">
        <v>0.0638</v>
      </c>
      <c r="F37" s="9" t="n">
        <v>0.066</v>
      </c>
      <c r="G37" s="9" t="n">
        <v>0.078</v>
      </c>
      <c r="H37" s="10" t="inlineStr">
        <is>
          <t>★★</t>
        </is>
      </c>
      <c r="I37" s="11" t="inlineStr">
        <is>
          <t>SHIFT2030フェーズ2の2028年3月期目標が7.0%。Baseシナリオは目標達成を想定</t>
        </is>
      </c>
    </row>
    <row r="39">
      <c r="A39" s="3" t="inlineStr">
        <is>
          <t>【持分法投資利益 (★★★ 核心ドライバー)】</t>
        </is>
      </c>
      <c r="H39" s="4" t="inlineStr"/>
      <c r="I39" s="5" t="inlineStr"/>
    </row>
    <row r="40">
      <c r="A40" s="6" t="inlineStr">
        <is>
          <t>持分法投資利益 合計</t>
        </is>
      </c>
      <c r="B40" s="7" t="n">
        <v>6894</v>
      </c>
      <c r="C40" s="7" t="n">
        <v>7001</v>
      </c>
      <c r="D40" s="7" t="n">
        <v>8669</v>
      </c>
      <c r="E40" s="7" t="n">
        <v>8592</v>
      </c>
      <c r="F40" s="7" t="n">
        <v>9300</v>
      </c>
      <c r="G40" s="7" t="n">
        <v>11300</v>
      </c>
      <c r="H40" s="4" t="inlineStr">
        <is>
          <t>★★★</t>
        </is>
      </c>
      <c r="I40" s="5" t="inlineStr">
        <is>
          <t>連結P&amp;L営業外収益。経常利益の約60%を占める。FY3/28 Baseは markdown想定値</t>
        </is>
      </c>
    </row>
    <row r="41">
      <c r="A41" s="16" t="inlineStr">
        <is>
          <t xml:space="preserve">　うち NDI (ニッタ・デュポン:半導体研磨パッド)</t>
        </is>
      </c>
      <c r="B41" s="17" t="n">
        <v>3000</v>
      </c>
      <c r="C41" s="17" t="n">
        <v>3200</v>
      </c>
      <c r="D41" s="17" t="n">
        <v>4005</v>
      </c>
      <c r="E41" s="17" t="n">
        <v>4509</v>
      </c>
      <c r="F41" s="17" t="n">
        <v>5200</v>
      </c>
      <c r="G41" s="17" t="n">
        <v>5600</v>
      </c>
      <c r="H41" s="18" t="inlineStr">
        <is>
          <t>★★★</t>
        </is>
      </c>
      <c r="I41" s="19" t="inlineStr">
        <is>
          <t>FY3/25-26: 決算説明資料P.10〜11 四半期推移から合算 / FY3/23-24: 過去半導体需給と総持分法利益から逆算推定 / FY3/27+: Baseシナリオ</t>
        </is>
      </c>
    </row>
    <row r="42">
      <c r="A42" s="16" t="inlineStr">
        <is>
          <t xml:space="preserve">　うち GUA (ゲイツユニッタアジア:自動車・産業向けベルト)</t>
        </is>
      </c>
      <c r="B42" s="17" t="n">
        <v>3894</v>
      </c>
      <c r="C42" s="17" t="n">
        <v>3801</v>
      </c>
      <c r="D42" s="17" t="n">
        <v>4724</v>
      </c>
      <c r="E42" s="17" t="n">
        <v>4264</v>
      </c>
      <c r="F42" s="17" t="n">
        <v>4300</v>
      </c>
      <c r="G42" s="17" t="n">
        <v>4400</v>
      </c>
      <c r="H42" s="18" t="inlineStr">
        <is>
          <t>★★</t>
        </is>
      </c>
      <c r="I42" s="19" t="inlineStr">
        <is>
          <t>FY3/25-26: 決算説明資料 / FY3/23-24: 総持分法利益からNDI推定値を控除して逆算 / EV化で中期横ばい想定</t>
        </is>
      </c>
    </row>
    <row r="43">
      <c r="A43" s="16" t="inlineStr">
        <is>
          <t xml:space="preserve">　うち その他 (GNB等)</t>
        </is>
      </c>
      <c r="B43" s="17" t="n">
        <v>0</v>
      </c>
      <c r="C43" s="17" t="n">
        <v>0</v>
      </c>
      <c r="D43" s="17" t="n">
        <v>-60</v>
      </c>
      <c r="E43" s="17" t="n">
        <v>-181</v>
      </c>
      <c r="F43" s="17" t="n">
        <v>-200</v>
      </c>
      <c r="G43" s="17" t="n">
        <v>-200</v>
      </c>
      <c r="H43" s="18" t="inlineStr"/>
      <c r="I43" s="19" t="inlineStr">
        <is>
          <t>ゲイツニッタベルトカンパニー(米)等。FY3/26時点で赤字基調</t>
        </is>
      </c>
    </row>
    <row r="45">
      <c r="A45" s="3" t="inlineStr">
        <is>
          <t>【NDI(ニッタ・デュポン) 単体推計とα分解】</t>
        </is>
      </c>
      <c r="H45" s="4" t="inlineStr"/>
      <c r="I45" s="5" t="inlineStr"/>
    </row>
    <row r="46">
      <c r="A46" s="12" t="inlineStr">
        <is>
          <t>NDI売上 (CY、百万円)</t>
        </is>
      </c>
      <c r="B46" s="13" t="n">
        <v>26000</v>
      </c>
      <c r="C46" s="13" t="n">
        <v>28000</v>
      </c>
      <c r="D46" s="13" t="n">
        <v>30000</v>
      </c>
      <c r="E46" s="13" t="n">
        <v>32700</v>
      </c>
      <c r="F46" s="13" t="n">
        <v>36000</v>
      </c>
      <c r="G46" s="13" t="n">
        <v>41000</v>
      </c>
      <c r="H46" s="14" t="inlineStr">
        <is>
          <t>★★★</t>
        </is>
      </c>
      <c r="I46" s="15" t="inlineStr">
        <is>
          <t>markdown: CY2025=327億円(+9%)。過去はNitta DuPont IR非開示部分は半導体出荷量と純利益率から推定。FY3/28はCAGR+13%(BSPDN/2nm本格化)</t>
        </is>
      </c>
    </row>
    <row r="47">
      <c r="A47" s="16" t="inlineStr">
        <is>
          <t xml:space="preserve">　ウェハ生産量 (CAGR寄与, +3〜5%)</t>
        </is>
      </c>
      <c r="B47" s="21" t="n"/>
      <c r="C47" s="21" t="n"/>
      <c r="D47" s="21" t="n"/>
      <c r="E47" s="21" t="n"/>
      <c r="F47" s="21" t="n">
        <v>0.04</v>
      </c>
      <c r="G47" s="21" t="n">
        <v>0.04</v>
      </c>
      <c r="H47" s="18" t="inlineStr">
        <is>
          <t>★★</t>
        </is>
      </c>
      <c r="I47" s="19" t="inlineStr">
        <is>
          <t>WSTS等。半導体ウェハ出荷量のマクロ成長率。AI需要で+3〜5%/年想定</t>
        </is>
      </c>
    </row>
    <row r="48">
      <c r="A48" s="16" t="inlineStr">
        <is>
          <t xml:space="preserve">　CMPステップ数/ウェハ (CAGR寄与, +4〜6%)</t>
        </is>
      </c>
      <c r="B48" s="21" t="n"/>
      <c r="C48" s="21" t="n"/>
      <c r="D48" s="21" t="n"/>
      <c r="E48" s="21" t="n"/>
      <c r="F48" s="21" t="n">
        <v>0.05</v>
      </c>
      <c r="G48" s="21" t="n">
        <v>0.05</v>
      </c>
      <c r="H48" s="18" t="inlineStr">
        <is>
          <t>★★★</t>
        </is>
      </c>
      <c r="I48" s="19" t="inlineStr">
        <is>
          <t>28nm:12-15→2nm:25ステップ。BSPDN/GAA量産でα超過の最大要因。SemiEngineering根拠</t>
        </is>
      </c>
    </row>
    <row r="49">
      <c r="A49" s="16" t="inlineStr">
        <is>
          <t xml:space="preserve">　先端品ASPミックス (CAGR寄与, +2〜3%)</t>
        </is>
      </c>
      <c r="B49" s="21" t="n"/>
      <c r="C49" s="21" t="n"/>
      <c r="D49" s="21" t="n"/>
      <c r="E49" s="21" t="n"/>
      <c r="F49" s="21" t="n">
        <v>0.025</v>
      </c>
      <c r="G49" s="21" t="n">
        <v>0.025</v>
      </c>
      <c r="H49" s="18" t="inlineStr">
        <is>
          <t>★★</t>
        </is>
      </c>
      <c r="I49" s="19" t="inlineStr">
        <is>
          <t>IC1000 → Ikonic/Emblem 世代交代。先端品単価1.5〜2倍</t>
        </is>
      </c>
    </row>
    <row r="50">
      <c r="A50" s="16" t="inlineStr">
        <is>
          <t xml:space="preserve">　世界シェア (CAGR寄与, 横ばい〜+1%)</t>
        </is>
      </c>
      <c r="B50" s="21" t="n"/>
      <c r="C50" s="21" t="n"/>
      <c r="D50" s="21" t="n"/>
      <c r="E50" s="21" t="n"/>
      <c r="F50" s="21" t="n">
        <v>0.005</v>
      </c>
      <c r="G50" s="21" t="n">
        <v>0.005</v>
      </c>
      <c r="H50" s="18" t="inlineStr"/>
      <c r="I50" s="19" t="inlineStr">
        <is>
          <t>シェア66%。先端ノードでの認定優位。中国国産化リスクは中期的</t>
        </is>
      </c>
    </row>
    <row r="51">
      <c r="A51" s="8" t="inlineStr">
        <is>
          <t xml:space="preserve">　→ NDI売上CAGR (因数積)</t>
        </is>
      </c>
      <c r="B51" s="9" t="n"/>
      <c r="C51" s="9" t="n"/>
      <c r="D51" s="9" t="n"/>
      <c r="E51" s="9" t="n"/>
      <c r="F51" s="9" t="n">
        <v>0.125</v>
      </c>
      <c r="G51" s="9" t="n">
        <v>0.125</v>
      </c>
      <c r="H51" s="10" t="inlineStr">
        <is>
          <t>★★★</t>
        </is>
      </c>
      <c r="I51" s="11" t="inlineStr">
        <is>
          <t>(1+0.04)*(1+0.05)*(1+0.025)*(1+0.005) - 1 ≒ +12.5%。市場CAGR+7.5%を大幅上回り</t>
        </is>
      </c>
    </row>
    <row r="52">
      <c r="A52" s="12" t="inlineStr">
        <is>
          <t>NDI営業利益率(推定)</t>
        </is>
      </c>
      <c r="B52" s="22" t="n"/>
      <c r="C52" s="22" t="n"/>
      <c r="D52" s="22" t="n">
        <v>0.3</v>
      </c>
      <c r="E52" s="22" t="n">
        <v>0.3</v>
      </c>
      <c r="F52" s="22" t="n">
        <v>0.32</v>
      </c>
      <c r="G52" s="22" t="n">
        <v>0.35</v>
      </c>
      <c r="H52" s="14" t="inlineStr">
        <is>
          <t>★★</t>
        </is>
      </c>
      <c r="I52" s="15" t="inlineStr">
        <is>
          <t>CMPパッドはハイマージン消耗材。先端品ミックスでミックス改善。Base 35%(markdown想定 30〜40%レンジ中央)</t>
        </is>
      </c>
    </row>
    <row r="53">
      <c r="A53" s="6" t="inlineStr">
        <is>
          <t>NDI純利益(推計, 百万円)</t>
        </is>
      </c>
      <c r="B53" s="7" t="n"/>
      <c r="C53" s="7" t="n"/>
      <c r="D53" s="7" t="n">
        <v>8010</v>
      </c>
      <c r="E53" s="7" t="n">
        <v>9018</v>
      </c>
      <c r="F53" s="7" t="n">
        <v>10400</v>
      </c>
      <c r="G53" s="7" t="n">
        <v>11200</v>
      </c>
      <c r="H53" s="4" t="inlineStr"/>
      <c r="I53" s="5" t="inlineStr">
        <is>
          <t>NDI持分法利益 ÷ 出資比率50% で逆算 (FY3/26: 4,509百万 ÷ 0.50 = 9,018百万 = 90億)。NDI純利益率 ≒ 9,018/32,700 = 27.6%</t>
        </is>
      </c>
    </row>
    <row r="55">
      <c r="A55" s="3" t="inlineStr">
        <is>
          <t>【経常利益・純利益 (連結)】</t>
        </is>
      </c>
      <c r="H55" s="4" t="inlineStr"/>
      <c r="I55" s="5" t="inlineStr"/>
    </row>
    <row r="56">
      <c r="A56" s="6" t="inlineStr">
        <is>
          <t>営業外収益その他 (受取利息・配当・為替差益等)</t>
        </is>
      </c>
      <c r="B56" s="7" t="n">
        <v>1357</v>
      </c>
      <c r="C56" s="7" t="n">
        <v>1110</v>
      </c>
      <c r="D56" s="7" t="n">
        <v>1217</v>
      </c>
      <c r="E56" s="7" t="n">
        <v>1300</v>
      </c>
      <c r="F56" s="7" t="n">
        <v>1300</v>
      </c>
      <c r="G56" s="7" t="n">
        <v>1300</v>
      </c>
      <c r="H56" s="4" t="inlineStr"/>
      <c r="I56" s="5" t="inlineStr">
        <is>
          <t>yuho 営業外収益から持分法を除いた残り。横ばい想定</t>
        </is>
      </c>
    </row>
    <row r="57">
      <c r="A57" s="6" t="inlineStr">
        <is>
          <t>営業外費用 (支払利息・訴訟費用等)</t>
        </is>
      </c>
      <c r="B57" s="7" t="n">
        <v>-340</v>
      </c>
      <c r="C57" s="7" t="n">
        <v>-525</v>
      </c>
      <c r="D57" s="7" t="n">
        <v>-440</v>
      </c>
      <c r="E57" s="7" t="n">
        <v>-2944</v>
      </c>
      <c r="F57" s="7" t="n">
        <v>-1800</v>
      </c>
      <c r="G57" s="7" t="n">
        <v>-1500</v>
      </c>
      <c r="H57" s="4" t="inlineStr">
        <is>
          <t>★</t>
        </is>
      </c>
      <c r="I57" s="5" t="inlineStr">
        <is>
          <t>yuho。FY3/26は訴訟関連費用が急増(単体経常利益が-47%減になった主因)</t>
        </is>
      </c>
    </row>
    <row r="58">
      <c r="A58" s="6" t="inlineStr">
        <is>
          <t>経常利益</t>
        </is>
      </c>
      <c r="B58" s="7" t="n">
        <v>12900</v>
      </c>
      <c r="C58" s="7" t="n">
        <v>12007</v>
      </c>
      <c r="D58" s="7" t="n">
        <v>14601</v>
      </c>
      <c r="E58" s="7" t="n">
        <v>14810</v>
      </c>
      <c r="F58" s="7" t="n">
        <v>15000</v>
      </c>
      <c r="G58" s="7" t="n">
        <v>18800</v>
      </c>
      <c r="H58" s="4" t="inlineStr">
        <is>
          <t>★★★</t>
        </is>
      </c>
      <c r="I58" s="5" t="inlineStr">
        <is>
          <t>営業利益 + 持分法 + 営外収益 - 営外費用 / FY3/27 会社予想 / FY3/28 markdown Base</t>
        </is>
      </c>
    </row>
    <row r="59">
      <c r="A59" s="12" t="inlineStr">
        <is>
          <t>特別損益</t>
        </is>
      </c>
      <c r="B59" s="13" t="n">
        <v>-69</v>
      </c>
      <c r="C59" s="13" t="n">
        <v>2</v>
      </c>
      <c r="D59" s="13" t="n">
        <v>92</v>
      </c>
      <c r="E59" s="13" t="n">
        <v>100</v>
      </c>
      <c r="F59" s="13" t="n">
        <v>-500</v>
      </c>
      <c r="G59" s="13" t="n">
        <v>0</v>
      </c>
      <c r="H59" s="14" t="inlineStr"/>
      <c r="I59" s="15" t="inlineStr">
        <is>
          <t>特別利益 - 特別損失。FY3/26は決算説明資料の経常→純利益から逆算 / FY3/27に訴訟関連の特損想定</t>
        </is>
      </c>
    </row>
    <row r="60">
      <c r="A60" s="6" t="inlineStr">
        <is>
          <t>税前純利益</t>
        </is>
      </c>
      <c r="B60" s="7" t="n">
        <v>12831</v>
      </c>
      <c r="C60" s="7" t="n">
        <v>12009</v>
      </c>
      <c r="D60" s="7" t="n">
        <v>14693</v>
      </c>
      <c r="E60" s="7" t="n">
        <v>14910</v>
      </c>
      <c r="F60" s="7" t="n">
        <v>14500</v>
      </c>
      <c r="G60" s="7" t="n">
        <v>18800</v>
      </c>
      <c r="H60" s="4" t="inlineStr"/>
      <c r="I60" s="5" t="inlineStr">
        <is>
          <t>経常利益 + 特別損益</t>
        </is>
      </c>
    </row>
    <row r="61">
      <c r="A61" s="6" t="inlineStr">
        <is>
          <t>法人税等</t>
        </is>
      </c>
      <c r="B61" s="7" t="n">
        <v>1908</v>
      </c>
      <c r="C61" s="7" t="n">
        <v>2091</v>
      </c>
      <c r="D61" s="7" t="n">
        <v>2492</v>
      </c>
      <c r="E61" s="7" t="n">
        <v>1310</v>
      </c>
      <c r="F61" s="7" t="n">
        <v>2200</v>
      </c>
      <c r="G61" s="7" t="n">
        <v>3000</v>
      </c>
      <c r="H61" s="4" t="inlineStr"/>
      <c r="I61" s="5" t="inlineStr">
        <is>
          <t>yuho 法人税等合計。FY3/26は決算説明資料から逆算(税前-当期純利益)。実効税率8%は持分法利益増加+訴訟費用の影響</t>
        </is>
      </c>
    </row>
    <row r="62">
      <c r="A62" s="16" t="inlineStr">
        <is>
          <t xml:space="preserve">　実効税率</t>
        </is>
      </c>
      <c r="B62" s="21" t="n">
        <v>0.149</v>
      </c>
      <c r="C62" s="21" t="n">
        <v>0.174</v>
      </c>
      <c r="D62" s="21" t="n">
        <v>0.17</v>
      </c>
      <c r="E62" s="21" t="n">
        <v>0.08799999999999999</v>
      </c>
      <c r="F62" s="21" t="n">
        <v>0.152</v>
      </c>
      <c r="G62" s="21" t="n">
        <v>0.16</v>
      </c>
      <c r="H62" s="18" t="inlineStr"/>
      <c r="I62" s="19" t="inlineStr">
        <is>
          <t>持分法利益(税後)が経常利益の半分超を占めるため通常より低い。FY3/26は訴訟費用で税前利益縮小により異常値</t>
        </is>
      </c>
    </row>
    <row r="63">
      <c r="A63" s="8" t="inlineStr">
        <is>
          <t xml:space="preserve">　少数株主損益</t>
        </is>
      </c>
      <c r="B63" s="20" t="n">
        <v>69</v>
      </c>
      <c r="C63" s="20" t="n">
        <v>59</v>
      </c>
      <c r="D63" s="20" t="n">
        <v>69</v>
      </c>
      <c r="E63" s="20" t="n">
        <v>71</v>
      </c>
      <c r="F63" s="20" t="n">
        <v>100</v>
      </c>
      <c r="G63" s="20" t="n">
        <v>0</v>
      </c>
      <c r="H63" s="10" t="inlineStr"/>
      <c r="I63" s="11" t="inlineStr">
        <is>
          <t>yuho。重要性低し</t>
        </is>
      </c>
    </row>
    <row r="64">
      <c r="A64" s="6" t="inlineStr">
        <is>
          <t>親会社株主帰属純利益</t>
        </is>
      </c>
      <c r="B64" s="7" t="n">
        <v>10853</v>
      </c>
      <c r="C64" s="7" t="n">
        <v>9857</v>
      </c>
      <c r="D64" s="7" t="n">
        <v>12131</v>
      </c>
      <c r="E64" s="7" t="n">
        <v>13529</v>
      </c>
      <c r="F64" s="7" t="n">
        <v>12300</v>
      </c>
      <c r="G64" s="7" t="n">
        <v>15800</v>
      </c>
      <c r="H64" s="4" t="inlineStr">
        <is>
          <t>★★★</t>
        </is>
      </c>
      <c r="I64" s="5" t="inlineStr">
        <is>
          <t>FY3/27 会社予想 / FY3/28 markdown Base。FY3/27会社予想は減益注意(訴訟費用想定織込)</t>
        </is>
      </c>
    </row>
    <row r="66">
      <c r="A66" s="3" t="inlineStr">
        <is>
          <t>【EPS・PER感応度・目標株価】</t>
        </is>
      </c>
      <c r="H66" s="4" t="inlineStr"/>
      <c r="I66" s="5" t="inlineStr"/>
    </row>
    <row r="67">
      <c r="A67" s="12" t="inlineStr">
        <is>
          <t>期中平均株式数 (千株)</t>
        </is>
      </c>
      <c r="B67" s="13" t="n">
        <v>28021</v>
      </c>
      <c r="C67" s="13" t="n">
        <v>27857</v>
      </c>
      <c r="D67" s="13" t="n">
        <v>27777</v>
      </c>
      <c r="E67" s="13" t="n">
        <v>27800</v>
      </c>
      <c r="F67" s="13" t="n">
        <v>27800</v>
      </c>
      <c r="G67" s="13" t="n">
        <v>27800</v>
      </c>
      <c r="H67" s="14" t="inlineStr"/>
      <c r="I67" s="15" t="inlineStr">
        <is>
          <t>yuho 1株当たり情報。FY3/25=27,777千株。自己株式控除後の平均。2024/9に100万株消却済</t>
        </is>
      </c>
    </row>
    <row r="68">
      <c r="A68" s="6" t="inlineStr">
        <is>
          <t>EPS (円)</t>
        </is>
      </c>
      <c r="B68" s="23" t="n">
        <v>387.3</v>
      </c>
      <c r="C68" s="23" t="n">
        <v>353.8</v>
      </c>
      <c r="D68" s="23" t="n">
        <v>436.7</v>
      </c>
      <c r="E68" s="23" t="n">
        <v>486.7</v>
      </c>
      <c r="F68" s="23" t="n">
        <v>442.4</v>
      </c>
      <c r="G68" s="23" t="n">
        <v>568.3</v>
      </c>
      <c r="H68" s="4" t="inlineStr">
        <is>
          <t>★★★</t>
        </is>
      </c>
      <c r="I68" s="5" t="inlineStr">
        <is>
          <t>連結純利益 ÷ 期中平均株式数。FY3/28 Base=568円 (markdown525円は概算)</t>
        </is>
      </c>
    </row>
    <row r="69">
      <c r="A69" s="16" t="inlineStr">
        <is>
          <t xml:space="preserve">　想定PER Bear</t>
        </is>
      </c>
      <c r="B69" s="24" t="n"/>
      <c r="C69" s="24" t="n"/>
      <c r="D69" s="24" t="n"/>
      <c r="E69" s="24" t="n"/>
      <c r="F69" s="24" t="n"/>
      <c r="G69" s="24" t="n">
        <v>12</v>
      </c>
      <c r="H69" s="18" t="inlineStr"/>
      <c r="I69" s="19" t="inlineStr">
        <is>
          <t>ゴム製品セクター評価のまま据置。過去レンジ下限。markdown想定</t>
        </is>
      </c>
    </row>
    <row r="70">
      <c r="A70" s="16" t="inlineStr">
        <is>
          <t xml:space="preserve">　想定PER Base</t>
        </is>
      </c>
      <c r="B70" s="24" t="n"/>
      <c r="C70" s="24" t="n"/>
      <c r="D70" s="24" t="n"/>
      <c r="E70" s="24" t="n"/>
      <c r="F70" s="24" t="n"/>
      <c r="G70" s="24" t="n">
        <v>14</v>
      </c>
      <c r="H70" s="18" t="inlineStr">
        <is>
          <t>★★★</t>
        </is>
      </c>
      <c r="I70" s="19" t="inlineStr">
        <is>
          <t>半導体材料企業としてのリレーティング途上。markdown想定</t>
        </is>
      </c>
    </row>
    <row r="71">
      <c r="A71" s="16" t="inlineStr">
        <is>
          <t xml:space="preserve">　想定PER Bull</t>
        </is>
      </c>
      <c r="B71" s="24" t="n"/>
      <c r="C71" s="24" t="n"/>
      <c r="D71" s="24" t="n"/>
      <c r="E71" s="24" t="n"/>
      <c r="F71" s="24" t="n"/>
      <c r="G71" s="24" t="n">
        <v>16</v>
      </c>
      <c r="H71" s="18" t="inlineStr"/>
      <c r="I71" s="19" t="inlineStr">
        <is>
          <t>ゴム製品 → 半導体材料企業として完全リレーティング。富士紡HD水準</t>
        </is>
      </c>
    </row>
    <row r="72">
      <c r="A72" s="12" t="inlineStr">
        <is>
          <t>FY3/28 シナリオ別 純利益 (百万円)</t>
        </is>
      </c>
      <c r="B72" s="13" t="n"/>
      <c r="C72" s="13" t="n"/>
      <c r="D72" s="13" t="n"/>
      <c r="E72" s="13" t="n"/>
      <c r="F72" s="13" t="n"/>
      <c r="G72" s="13" t="inlineStr">
        <is>
          <t>13,500 / 15,800 / 18,000</t>
        </is>
      </c>
      <c r="H72" s="14" t="inlineStr"/>
      <c r="I72" s="15" t="inlineStr">
        <is>
          <t>Bear / Base / Bull。markdown 4-3 シナリオ別業績表より。Base 158億 = 持分法113億 + 本体 65億</t>
        </is>
      </c>
    </row>
    <row r="73">
      <c r="A73" s="6" t="inlineStr">
        <is>
          <t>FY3/28 シナリオ別 EPS (円, 27,800千株ベース)</t>
        </is>
      </c>
      <c r="B73" s="7" t="n"/>
      <c r="C73" s="7" t="n"/>
      <c r="D73" s="7" t="n"/>
      <c r="E73" s="7" t="n"/>
      <c r="F73" s="7" t="n"/>
      <c r="G73" s="7" t="inlineStr">
        <is>
          <t>486 / 568 / 648</t>
        </is>
      </c>
      <c r="H73" s="4" t="inlineStr"/>
      <c r="I73" s="5" t="inlineStr">
        <is>
          <t>純利益 ÷ 期中平均27,800千株 (自己株式控除後)。markdownのEPS表記450/525/600は消却前30,272千株ベース(古い基準)</t>
        </is>
      </c>
    </row>
    <row r="74">
      <c r="A74" s="6" t="inlineStr">
        <is>
          <t>目標株価 Bear (円, 自社計算)</t>
        </is>
      </c>
      <c r="B74" s="7" t="n"/>
      <c r="C74" s="7" t="n"/>
      <c r="D74" s="7" t="n"/>
      <c r="E74" s="7" t="n"/>
      <c r="F74" s="7" t="n"/>
      <c r="G74" s="7" t="n">
        <v>5832</v>
      </c>
      <c r="H74" s="4" t="inlineStr">
        <is>
          <t>★</t>
        </is>
      </c>
      <c r="I74" s="5" t="inlineStr">
        <is>
          <t>486円×12倍 = 5,832円。markdown表記 5,400円(古いEPS×PER)よりも実態に近い。現在株価+8%</t>
        </is>
      </c>
    </row>
    <row r="75">
      <c r="A75" s="6" t="inlineStr">
        <is>
          <t>目標株価 Base (円, 自社計算)</t>
        </is>
      </c>
      <c r="B75" s="7" t="n"/>
      <c r="C75" s="7" t="n"/>
      <c r="D75" s="7" t="n"/>
      <c r="E75" s="7" t="n"/>
      <c r="F75" s="7" t="n"/>
      <c r="G75" s="7" t="n">
        <v>7956</v>
      </c>
      <c r="H75" s="4" t="inlineStr">
        <is>
          <t>★★★</t>
        </is>
      </c>
      <c r="I75" s="5" t="inlineStr">
        <is>
          <t>568円×14倍 = 7,956円。markdown表記 7,350円(古いEPS×PER)より +8%。現在株価+47%</t>
        </is>
      </c>
    </row>
    <row r="76">
      <c r="A76" s="6" t="inlineStr">
        <is>
          <t>目標株価 Bull (円, 自社計算)</t>
        </is>
      </c>
      <c r="B76" s="7" t="n"/>
      <c r="C76" s="7" t="n"/>
      <c r="D76" s="7" t="n"/>
      <c r="E76" s="7" t="n"/>
      <c r="F76" s="7" t="n"/>
      <c r="G76" s="7" t="n">
        <v>10368</v>
      </c>
      <c r="H76" s="4" t="inlineStr">
        <is>
          <t>★★</t>
        </is>
      </c>
      <c r="I76" s="5" t="inlineStr">
        <is>
          <t>648円×16倍 = 10,368円。markdown表記 9,600円(古いEPS×PER)より +8%。現在株価+92%</t>
        </is>
      </c>
    </row>
    <row r="77">
      <c r="A77" s="16" t="inlineStr">
        <is>
          <t xml:space="preserve">　(参考) markdown記載 目標株価</t>
        </is>
      </c>
      <c r="B77" s="17" t="n"/>
      <c r="C77" s="17" t="n"/>
      <c r="D77" s="17" t="n"/>
      <c r="E77" s="17" t="n"/>
      <c r="F77" s="17" t="n"/>
      <c r="G77" s="17" t="inlineStr">
        <is>
          <t>5,400 / 7,350 / 9,600</t>
        </is>
      </c>
      <c r="H77" s="18" t="inlineStr"/>
      <c r="I77" s="19" t="inlineStr">
        <is>
          <t>markdown 4-3 シナリオ別表より。EPS分母を消却前29,272千株で計算した場合の値。自社計算より約8%低い</t>
        </is>
      </c>
    </row>
    <row r="79">
      <c r="A79" s="3" t="inlineStr">
        <is>
          <t>【「織り込み済み?」反論：時価総額据置シナリオ】</t>
        </is>
      </c>
      <c r="H79" s="4" t="inlineStr"/>
      <c r="I79" s="5" t="inlineStr"/>
    </row>
    <row r="80">
      <c r="A80" s="12" t="inlineStr">
        <is>
          <t>時価総額 (百万円・据置)</t>
        </is>
      </c>
      <c r="B80" s="13" t="n">
        <v>150161</v>
      </c>
      <c r="C80" s="13" t="n">
        <v>150161</v>
      </c>
      <c r="D80" s="13" t="n">
        <v>150161</v>
      </c>
      <c r="E80" s="13" t="n">
        <v>150161</v>
      </c>
      <c r="F80" s="13" t="n">
        <v>150161</v>
      </c>
      <c r="G80" s="13" t="n">
        <v>150161</v>
      </c>
      <c r="H80" s="14" t="inlineStr"/>
      <c r="I80" s="15" t="inlineStr">
        <is>
          <t>現在想定株価5,400円 × 自己株除発行済27.8百万株 = 1502億円を全年度固定</t>
        </is>
      </c>
    </row>
    <row r="81">
      <c r="A81" s="6" t="inlineStr">
        <is>
          <t>連結純利益 Base (百万円, 再掲)</t>
        </is>
      </c>
      <c r="B81" s="7" t="n">
        <v>10853</v>
      </c>
      <c r="C81" s="7" t="n">
        <v>9857</v>
      </c>
      <c r="D81" s="7" t="n">
        <v>12131</v>
      </c>
      <c r="E81" s="7" t="n">
        <v>13529</v>
      </c>
      <c r="F81" s="7" t="n">
        <v>12300</v>
      </c>
      <c r="G81" s="7" t="n">
        <v>15800</v>
      </c>
      <c r="H81" s="4" t="inlineStr"/>
      <c r="I81" s="5" t="inlineStr">
        <is>
          <t>上記Baseシナリオの純利益を再掲</t>
        </is>
      </c>
    </row>
    <row r="82">
      <c r="A82" s="6" t="inlineStr">
        <is>
          <t>時価総額据置PER (倍)</t>
        </is>
      </c>
      <c r="B82" s="23" t="n">
        <v>13.84</v>
      </c>
      <c r="C82" s="23" t="n">
        <v>15.23</v>
      </c>
      <c r="D82" s="23" t="n">
        <v>12.38</v>
      </c>
      <c r="E82" s="23" t="n">
        <v>11.1</v>
      </c>
      <c r="F82" s="23" t="n">
        <v>12.21</v>
      </c>
      <c r="G82" s="23" t="n">
        <v>9.5</v>
      </c>
      <c r="H82" s="4" t="inlineStr">
        <is>
          <t>★★★</t>
        </is>
      </c>
      <c r="I82" s="5" t="inlineStr">
        <is>
          <t>時価総額 ÷ 純利益。FY3/28に9.5倍まで機械的に低下 → 「現在価格は織り込み済み」なら 9.5倍が正当</t>
        </is>
      </c>
    </row>
    <row r="84">
      <c r="A84" s="3" t="inlineStr">
        <is>
          <t>【ピア比較 (PER)】</t>
        </is>
      </c>
      <c r="H84" s="4" t="inlineStr"/>
      <c r="I84" s="5" t="inlineStr"/>
    </row>
    <row r="85">
      <c r="A85" s="12" t="inlineStr">
        <is>
          <t>ニッタ (5186) — 現状PER (FY3/26実績ベース)</t>
        </is>
      </c>
      <c r="B85" s="25" t="n">
        <v>11.1</v>
      </c>
      <c r="C85" s="25" t="n"/>
      <c r="D85" s="25" t="n"/>
      <c r="E85" s="25" t="n"/>
      <c r="F85" s="25" t="n"/>
      <c r="G85" s="25" t="n"/>
      <c r="H85" s="14" t="inlineStr"/>
      <c r="I85" s="15" t="inlineStr">
        <is>
          <t>現在株価5,400円 / EPS486.7円 = 約11.1倍。markdown記載「10.3〜11.2倍」と整合</t>
        </is>
      </c>
    </row>
    <row r="86">
      <c r="A86" s="16" t="inlineStr">
        <is>
          <t xml:space="preserve">　ピア① 富士紡HD (3104) — CMPパッド国内競合</t>
        </is>
      </c>
      <c r="B86" s="24" t="n">
        <v>18</v>
      </c>
      <c r="C86" s="24" t="n"/>
      <c r="D86" s="24" t="n"/>
      <c r="E86" s="24" t="n"/>
      <c r="F86" s="24" t="n"/>
      <c r="G86" s="24" t="n"/>
      <c r="H86" s="18" t="inlineStr"/>
      <c r="I86" s="19" t="inlineStr">
        <is>
          <t>ビジネスモデル類似(CMPパッド世界2位、ニッタ・デュポンの直接競合)。PER 15〜20倍常態 → 推定18倍 ※実数値は要IR確認</t>
        </is>
      </c>
    </row>
    <row r="87">
      <c r="A87" s="16" t="inlineStr">
        <is>
          <t xml:space="preserve">　ピア② バンドー化学 (5195) — ゴム製品セクター国内同業</t>
        </is>
      </c>
      <c r="B87" s="24" t="n">
        <v>10</v>
      </c>
      <c r="C87" s="24" t="n"/>
      <c r="D87" s="24" t="n"/>
      <c r="E87" s="24" t="n"/>
      <c r="F87" s="24" t="n"/>
      <c r="G87" s="24" t="n"/>
      <c r="H87" s="18" t="inlineStr"/>
      <c r="I87" s="19" t="inlineStr">
        <is>
          <t>業態類似(ゴム製品セクター、ベルト主力)。市場の「現在の認識」を反映。PER 10倍前後 → 推定10倍 ※実数値は要IR確認</t>
        </is>
      </c>
    </row>
    <row r="88">
      <c r="A88" s="16" t="inlineStr">
        <is>
          <t xml:space="preserve">　ピア③ 東京応化 (4186) — 半導体材料</t>
        </is>
      </c>
      <c r="B88" s="24" t="n">
        <v>22</v>
      </c>
      <c r="C88" s="24" t="n"/>
      <c r="D88" s="24" t="n"/>
      <c r="E88" s="24" t="n"/>
      <c r="F88" s="24" t="n"/>
      <c r="G88" s="24" t="n"/>
      <c r="H88" s="18" t="inlineStr"/>
      <c r="I88" s="19" t="inlineStr">
        <is>
          <t>リレーティング先(半導体材料企業)。PER 18〜25倍 → 推定22倍。Bullシナリオ16倍はこれの保守版 ※実数値は要IR確認</t>
        </is>
      </c>
    </row>
    <row r="90">
      <c r="A90" s="3" t="inlineStr">
        <is>
          <t>【SHIFT2030 フェーズ2 目標 vs Base想定 (FY3/28)】</t>
        </is>
      </c>
      <c r="H90" s="4" t="inlineStr"/>
      <c r="I90" s="5" t="inlineStr"/>
    </row>
    <row r="91">
      <c r="A91" s="12" t="inlineStr">
        <is>
          <t>売上高 (会社目標 / Base想定, 億円)</t>
        </is>
      </c>
      <c r="B91" s="13" t="n"/>
      <c r="C91" s="13" t="n"/>
      <c r="D91" s="13" t="n"/>
      <c r="E91" s="13" t="n"/>
      <c r="F91" s="13" t="n"/>
      <c r="G91" s="13" t="inlineStr">
        <is>
          <t>1,150 / 962</t>
        </is>
      </c>
      <c r="H91" s="14" t="inlineStr"/>
      <c r="I91" s="15" t="inlineStr">
        <is>
          <t>会社目標1,150億は野心的(FY3/26 918→1,150は+25%)。Base想定は会社予想94,000→962億と保守的</t>
        </is>
      </c>
    </row>
    <row r="92">
      <c r="A92" s="12" t="inlineStr">
        <is>
          <t>営業利益率 (会社目標 / Base想定, %)</t>
        </is>
      </c>
      <c r="B92" s="13" t="n"/>
      <c r="C92" s="13" t="n"/>
      <c r="D92" s="13" t="n"/>
      <c r="E92" s="13" t="n"/>
      <c r="F92" s="13" t="n"/>
      <c r="G92" s="13" t="inlineStr">
        <is>
          <t>7.0 / 7.8</t>
        </is>
      </c>
      <c r="H92" s="14" t="inlineStr"/>
      <c r="I92" s="15" t="inlineStr">
        <is>
          <t>Base想定は持分法成長で経常ベースも改善し、営業利益率は会社目標を上回る想定</t>
        </is>
      </c>
    </row>
    <row r="93">
      <c r="A93" s="12" t="inlineStr">
        <is>
          <t>事業ROIC (会社目標, %)</t>
        </is>
      </c>
      <c r="B93" s="25" t="n"/>
      <c r="C93" s="25" t="n"/>
      <c r="D93" s="25" t="n"/>
      <c r="E93" s="25" t="n"/>
      <c r="F93" s="25" t="n"/>
      <c r="G93" s="25" t="n">
        <v>7</v>
      </c>
      <c r="H93" s="14" t="inlineStr"/>
      <c r="I93" s="15" t="inlineStr">
        <is>
          <t>SHIFT2030フェーズ2新KPI。資本効率を意識した経営の証左</t>
        </is>
      </c>
    </row>
    <row r="95">
      <c r="A95" s="3" t="inlineStr">
        <is>
          <t>【関連会社合算財務 (GUA+NDI+GNB+DEMA)】</t>
        </is>
      </c>
      <c r="H95" s="4" t="inlineStr"/>
      <c r="I95" s="5" t="inlineStr"/>
    </row>
    <row r="96">
      <c r="A96" s="12" t="inlineStr">
        <is>
          <t>関連会社合算 売上高 (百万円)</t>
        </is>
      </c>
      <c r="B96" s="13" t="n"/>
      <c r="C96" s="13" t="n">
        <v>173256</v>
      </c>
      <c r="D96" s="13" t="n">
        <v>206737</v>
      </c>
      <c r="E96" s="13" t="n">
        <v>220000</v>
      </c>
      <c r="F96" s="13" t="n"/>
      <c r="G96" s="13" t="n"/>
      <c r="H96" s="14" t="inlineStr">
        <is>
          <t>★</t>
        </is>
      </c>
      <c r="I96" s="15" t="inlineStr">
        <is>
          <t>FY3/24-25は yuho 重要な関連会社要約財務情報 / FY3/26 は持分法利益横ばいから推定 / 連結売上(918億)の2倍超の規模が「見えない」</t>
        </is>
      </c>
    </row>
    <row r="97">
      <c r="A97" s="12" t="inlineStr">
        <is>
          <t>関連会社合算 当期純利益 (百万円)</t>
        </is>
      </c>
      <c r="B97" s="13" t="n"/>
      <c r="C97" s="13" t="n">
        <v>18349</v>
      </c>
      <c r="D97" s="13" t="n">
        <v>23371</v>
      </c>
      <c r="E97" s="13" t="n">
        <v>23000</v>
      </c>
      <c r="F97" s="13" t="n"/>
      <c r="G97" s="13" t="n"/>
      <c r="H97" s="14" t="inlineStr"/>
      <c r="I97" s="15" t="inlineStr">
        <is>
          <t>FY3/24-25 yuho / FY3/26 持分法利益横ばいから推定。これに出資比率(主に50%)を乗じて持分法利益が算出</t>
        </is>
      </c>
    </row>
    <row r="98">
      <c r="A98" s="12" t="inlineStr">
        <is>
          <t>関連会社合算 純資産 (百万円)</t>
        </is>
      </c>
      <c r="B98" s="13" t="n"/>
      <c r="C98" s="13" t="n">
        <v>92306</v>
      </c>
      <c r="D98" s="13" t="n">
        <v>112967</v>
      </c>
      <c r="E98" s="13" t="n">
        <v>130000</v>
      </c>
      <c r="F98" s="13" t="n"/>
      <c r="G98" s="13" t="n"/>
      <c r="H98" s="14" t="inlineStr"/>
      <c r="I98" s="15" t="inlineStr">
        <is>
          <t>FY3/24-25 yuho / FY3/26は内部留保増+為替で推定。BPS = 5,540円(FY3/25)で持分法投資の含み価値が大きい</t>
        </is>
      </c>
    </row>
    <row r="100">
      <c r="A100" s="3" t="inlineStr">
        <is>
          <t>【リスク要因・カタリスト KPI】</t>
        </is>
      </c>
      <c r="H100" s="4" t="inlineStr"/>
      <c r="I100" s="5" t="inlineStr"/>
    </row>
    <row r="101">
      <c r="A101" s="12" t="inlineStr">
        <is>
          <t>本体単体 経常利益 (訴訟費用影響)</t>
        </is>
      </c>
      <c r="B101" s="13" t="n"/>
      <c r="C101" s="13" t="n"/>
      <c r="D101" s="13" t="n">
        <v>7359</v>
      </c>
      <c r="E101" s="13" t="n">
        <v>3876</v>
      </c>
      <c r="F101" s="13" t="n">
        <v>5500</v>
      </c>
      <c r="G101" s="13" t="n">
        <v>7000</v>
      </c>
      <c r="H101" s="14" t="inlineStr">
        <is>
          <t>★</t>
        </is>
      </c>
      <c r="I101" s="15" t="inlineStr">
        <is>
          <t>FY3/26 -47.3%減益(yuho単体)。訴訟関連費用が単体に集中。FY3/27は訴訟費用減を想定、FY3/28で正常化</t>
        </is>
      </c>
    </row>
    <row r="102">
      <c r="A102" s="12" t="inlineStr">
        <is>
          <t>海外売上高比率</t>
        </is>
      </c>
      <c r="B102" s="22" t="n"/>
      <c r="C102" s="22" t="n"/>
      <c r="D102" s="22" t="n">
        <v>0.324</v>
      </c>
      <c r="E102" s="22" t="n">
        <v>0.332</v>
      </c>
      <c r="F102" s="22" t="n">
        <v>0.34</v>
      </c>
      <c r="G102" s="22" t="n">
        <v>0.36</v>
      </c>
      <c r="H102" s="14" t="inlineStr"/>
      <c r="I102" s="15" t="inlineStr">
        <is>
          <t>決算説明資料。北米物流ベルト堅調で上昇トレンド。中計目標は2021年比160%</t>
        </is>
      </c>
    </row>
    <row r="103">
      <c r="A103" s="12" t="inlineStr">
        <is>
          <t>設備投資額 (百万円)</t>
        </is>
      </c>
      <c r="B103" s="13" t="n"/>
      <c r="C103" s="13" t="n">
        <v>2535</v>
      </c>
      <c r="D103" s="13" t="n">
        <v>6882</v>
      </c>
      <c r="E103" s="13" t="n">
        <v>4445</v>
      </c>
      <c r="F103" s="13" t="n">
        <v>5000</v>
      </c>
      <c r="G103" s="13" t="n">
        <v>4500</v>
      </c>
      <c r="H103" s="14" t="inlineStr"/>
      <c r="I103" s="15" t="inlineStr">
        <is>
          <t>決算説明資料。FY3/25は半導体製造装置向け増産投資で急増、FY3/27会社予想5,000</t>
        </is>
      </c>
    </row>
    <row r="104">
      <c r="A104" s="12" t="inlineStr">
        <is>
          <t>配当性向 (%) ※単体ベース</t>
        </is>
      </c>
      <c r="B104" s="22" t="n"/>
      <c r="C104" s="22" t="n">
        <v>0.605</v>
      </c>
      <c r="D104" s="22" t="n">
        <v>0.615</v>
      </c>
      <c r="E104" s="22" t="n">
        <v>0.35</v>
      </c>
      <c r="F104" s="22" t="n">
        <v>0.35</v>
      </c>
      <c r="G104" s="22" t="n">
        <v>0.35</v>
      </c>
      <c r="H104" s="14" t="inlineStr"/>
      <c r="I104" s="15" t="inlineStr">
        <is>
          <t>yuho 提出会社経営指標等の配当性向(単体)。SHIFT2030フェーズ2は連結ベース30%以上、DOE2.5%以上が目標。FY3/26+は会社方針30%超を想定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2026-05-19T08:14:38Z</dcterms:created>
  <dcterms:modified xmlns:dcterms="http://purl.org/dc/terms/" xmlns:xsi="http://www.w3.org/2001/XMLSchema-instance" xsi:type="dcterms:W3CDTF">2026-05-19T08:14:38Z</dcterms:modified>
</cp:coreProperties>
</file>