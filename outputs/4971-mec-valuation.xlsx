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971_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  <sz val="11"/>
    </font>
    <font>
      <b val="1"/>
      <color rgb="00000000"/>
    </font>
    <font>
      <color rgb="00000000"/>
      <sz val="11"/>
    </font>
    <font>
      <color rgb="00000000"/>
    </font>
    <font>
      <color rgb="001F4E78"/>
      <sz val="11"/>
    </font>
    <font>
      <color rgb="001F4E78"/>
    </font>
    <font>
      <b val="1"/>
      <color rgb="001F4E78"/>
      <sz val="11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right" vertical="center"/>
    </xf>
    <xf numFmtId="1" fontId="9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2" fontId="3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売上・粗利・営利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'4971_valuation'!A3</f>
            </strRef>
          </tx>
          <spPr>
            <a:ln xmlns:a="http://schemas.openxmlformats.org/drawingml/2006/main">
              <a:prstDash val="solid"/>
            </a:ln>
          </spPr>
          <cat>
            <numRef>
              <f>'4971_valuation'!$B$1:$E$1</f>
            </numRef>
          </cat>
          <val>
            <numRef>
              <f>'4971_valuation'!$B$3:$E$3</f>
            </numRef>
          </val>
        </ser>
        <ser>
          <idx val="1"/>
          <order val="1"/>
          <tx>
            <strRef>
              <f>'4971_valuation'!A30</f>
            </strRef>
          </tx>
          <spPr>
            <a:ln xmlns:a="http://schemas.openxmlformats.org/drawingml/2006/main">
              <a:prstDash val="solid"/>
            </a:ln>
          </spPr>
          <cat>
            <numRef>
              <f>'4971_valuation'!$B$1:$E$1</f>
            </numRef>
          </cat>
          <val>
            <numRef>
              <f>'4971_valuation'!$B$30:$E$30</f>
            </numRef>
          </val>
        </ser>
        <ser>
          <idx val="2"/>
          <order val="2"/>
          <tx>
            <strRef>
              <f>'4971_valuation'!A48</f>
            </strRef>
          </tx>
          <spPr>
            <a:ln xmlns:a="http://schemas.openxmlformats.org/drawingml/2006/main">
              <a:prstDash val="solid"/>
            </a:ln>
          </spPr>
          <cat>
            <numRef>
              <f>'4971_valuation'!$B$1:$E$1</f>
            </numRef>
          </cat>
          <val>
            <numRef>
              <f>'4971_valuation'!$B$48:$E$48</f>
            </numRef>
          </val>
        </ser>
        <gapWidth val="150"/>
        <axId val="10"/>
        <axId val="100"/>
      </barChart>
      <lineChart>
        <grouping val="standard"/>
        <ser>
          <idx val="3"/>
          <order val="3"/>
          <tx>
            <strRef>
              <f>'4971_valuation'!A49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val>
            <numRef>
              <f>'4971_valuation'!$B$49:$E$49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比率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GPU向けCZシリーズの伸び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'4971_valuation'!A10</f>
            </strRef>
          </tx>
          <spPr>
            <a:ln xmlns:a="http://schemas.openxmlformats.org/drawingml/2006/main">
              <a:prstDash val="solid"/>
            </a:ln>
          </spPr>
          <cat>
            <numRef>
              <f>'4971_valuation'!$B$1:$E$1</f>
            </numRef>
          </cat>
          <val>
            <numRef>
              <f>'4971_valuation'!$B$10:$E$10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'4971_valuation'!A18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val>
            <numRef>
              <f>'4971_valuation'!$B$18:$E$18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比率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工場稼働率と生産量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'4971_valuation'!A56</f>
            </strRef>
          </tx>
          <spPr>
            <a:ln xmlns:a="http://schemas.openxmlformats.org/drawingml/2006/main">
              <a:prstDash val="solid"/>
            </a:ln>
          </spPr>
          <cat>
            <numRef>
              <f>'4971_valuation'!$B$1:$E$1</f>
            </numRef>
          </cat>
          <val>
            <numRef>
              <f>'4971_valuation'!$B$56:$E$56</f>
            </numRef>
          </val>
        </ser>
        <ser>
          <idx val="1"/>
          <order val="1"/>
          <tx>
            <strRef>
              <f>'4971_valuation'!A57</f>
            </strRef>
          </tx>
          <spPr>
            <a:ln xmlns:a="http://schemas.openxmlformats.org/drawingml/2006/main">
              <a:prstDash val="solid"/>
            </a:ln>
          </spPr>
          <cat>
            <numRef>
              <f>'4971_valuation'!$B$1:$E$1</f>
            </numRef>
          </cat>
          <val>
            <numRef>
              <f>'4971_valuation'!$B$57:$E$57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'4971_valuation'!A55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val>
            <numRef>
              <f>'4971_valuation'!$B$55:$E$55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比率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21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41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8" customWidth="1" min="6" max="6"/>
    <col width="50" customWidth="1" min="7" max="7"/>
  </cols>
  <sheetData>
    <row r="1">
      <c r="A1" s="1" t="inlineStr">
        <is>
          <t>従属変数=黒、独立変数=青</t>
        </is>
      </c>
      <c r="B1" s="2" t="inlineStr">
        <is>
          <t>FY24/12 実</t>
        </is>
      </c>
      <c r="C1" s="2" t="inlineStr">
        <is>
          <t>FY25/12 実</t>
        </is>
      </c>
      <c r="D1" s="2" t="inlineStr">
        <is>
          <t>FY26/12 予</t>
        </is>
      </c>
      <c r="E1" s="2" t="inlineStr">
        <is>
          <t>FY27/12 予</t>
        </is>
      </c>
      <c r="F1" s="2" t="inlineStr">
        <is>
          <t>重要度</t>
        </is>
      </c>
      <c r="G1" s="2" t="inlineStr">
        <is>
          <t>備考</t>
        </is>
      </c>
    </row>
    <row r="2">
      <c r="A2" s="3" t="inlineStr">
        <is>
          <t>【売上高】</t>
        </is>
      </c>
      <c r="F2" s="4" t="inlineStr"/>
      <c r="G2" s="5" t="inlineStr"/>
    </row>
    <row r="3">
      <c r="A3" s="6" t="inlineStr">
        <is>
          <t>売上高 合計</t>
        </is>
      </c>
      <c r="B3" s="7" t="n">
        <v>18234</v>
      </c>
      <c r="C3" s="7" t="n">
        <v>20947</v>
      </c>
      <c r="D3" s="7" t="inlineStr">
        <is>
          <t>TODO: 計算</t>
        </is>
      </c>
      <c r="E3" s="7" t="inlineStr">
        <is>
          <t>TODO: 計算</t>
        </is>
      </c>
      <c r="F3" s="4" t="inlineStr"/>
      <c r="G3" s="5" t="inlineStr">
        <is>
          <t>連結損益計算書より。FY26/FY27は薬品+機械+資材+その他の合計</t>
        </is>
      </c>
    </row>
    <row r="4">
      <c r="A4" s="8" t="inlineStr">
        <is>
          <t xml:space="preserve">　増収率</t>
        </is>
      </c>
      <c r="B4" s="9" t="n"/>
      <c r="C4" s="9" t="n">
        <v>0.149</v>
      </c>
      <c r="D4" s="9" t="n">
        <v>0.124</v>
      </c>
      <c r="E4" s="9" t="n">
        <v>0.144</v>
      </c>
      <c r="F4" s="10" t="inlineStr"/>
      <c r="G4" s="11" t="inlineStr">
        <is>
          <t>(売上高 ÷ 前年売上高) − 1。FY25実績14.9%、FY26-27は推計</t>
        </is>
      </c>
    </row>
    <row r="6">
      <c r="A6" s="3" t="inlineStr">
        <is>
          <t>【セグメント別売上】</t>
        </is>
      </c>
      <c r="F6" s="4" t="inlineStr"/>
      <c r="G6" s="5" t="inlineStr"/>
    </row>
    <row r="7">
      <c r="A7" s="6" t="inlineStr">
        <is>
          <t>薬品事業</t>
        </is>
      </c>
      <c r="B7" s="7" t="n">
        <v>17478</v>
      </c>
      <c r="C7" s="7" t="n">
        <v>20211</v>
      </c>
      <c r="D7" s="7" t="n">
        <v>22800</v>
      </c>
      <c r="E7" s="7" t="n">
        <v>26811</v>
      </c>
      <c r="F7" s="4" t="inlineStr"/>
      <c r="G7" s="5" t="inlineStr">
        <is>
          <t>yuho開示。FY25実績は前期比+15.6%増。FY26-27は密着向上剤(CZ)の伸びとエッチング剤据置を反映</t>
        </is>
      </c>
    </row>
    <row r="8">
      <c r="A8" s="12" t="inlineStr">
        <is>
          <t xml:space="preserve">　密着向上剤 (CZシリーズ)</t>
        </is>
      </c>
      <c r="B8" s="13" t="n">
        <v>12699</v>
      </c>
      <c r="C8" s="13" t="inlineStr">
        <is>
          <t>TODO</t>
        </is>
      </c>
      <c r="D8" s="13" t="n">
        <v>18028</v>
      </c>
      <c r="E8" s="13" t="n">
        <v>22039</v>
      </c>
      <c r="F8" s="14" t="inlineStr">
        <is>
          <t>★★★</t>
        </is>
      </c>
      <c r="G8" s="15" t="inlineStr">
        <is>
          <t>薬品売上の主力(7割以上)。汎用向け+GPU向けの和。GPU向けは Markdown 因数分解で算出</t>
        </is>
      </c>
    </row>
    <row r="9">
      <c r="A9" s="12" t="inlineStr">
        <is>
          <t xml:space="preserve">　　汎用向け (スマホ/パソコン)</t>
        </is>
      </c>
      <c r="B9" s="13" t="n">
        <v>9740</v>
      </c>
      <c r="C9" s="13" t="n">
        <v>9740</v>
      </c>
      <c r="D9" s="13" t="n">
        <v>9740</v>
      </c>
      <c r="E9" s="13" t="n">
        <v>9740</v>
      </c>
      <c r="F9" s="14" t="inlineStr"/>
      <c r="G9" s="15" t="inlineStr">
        <is>
          <t>markdown：成熟市場で CAGR 0% (保守)。FY24実績ベースで据え置き</t>
        </is>
      </c>
    </row>
    <row r="10">
      <c r="A10" s="12" t="inlineStr">
        <is>
          <t xml:space="preserve">　　GPU向け</t>
        </is>
      </c>
      <c r="B10" s="13" t="n">
        <v>2959</v>
      </c>
      <c r="C10" s="13" t="inlineStr">
        <is>
          <t>TODO: 約4,860</t>
        </is>
      </c>
      <c r="D10" s="13" t="n">
        <v>5700</v>
      </c>
      <c r="E10" s="13" t="n">
        <v>8300</v>
      </c>
      <c r="F10" s="14" t="inlineStr">
        <is>
          <t>★★★</t>
        </is>
      </c>
      <c r="G10" s="15" t="inlineStr">
        <is>
          <t>markdown因数分解：生産伸び+30/20/10% × 面積1.18/1.27/1.24倍 × 層数1.08/1.14/1.06倍 × 使用量補正50%</t>
        </is>
      </c>
    </row>
    <row r="11">
      <c r="A11" s="12" t="inlineStr">
        <is>
          <t xml:space="preserve">　エッチング剤</t>
        </is>
      </c>
      <c r="B11" s="13" t="n">
        <v>4000</v>
      </c>
      <c r="C11" s="13" t="n">
        <v>4000</v>
      </c>
      <c r="D11" s="13" t="n">
        <v>4000</v>
      </c>
      <c r="E11" s="13" t="n">
        <v>4000</v>
      </c>
      <c r="F11" s="14" t="inlineStr"/>
      <c r="G11" s="15" t="inlineStr">
        <is>
          <t>markdown：据え置き。粗利率45%</t>
        </is>
      </c>
    </row>
    <row r="12">
      <c r="A12" s="12" t="inlineStr">
        <is>
          <t xml:space="preserve">　薬品事業 その他</t>
        </is>
      </c>
      <c r="B12" s="13" t="n">
        <v>772</v>
      </c>
      <c r="C12" s="13" t="inlineStr">
        <is>
          <t>TODO</t>
        </is>
      </c>
      <c r="D12" s="13" t="n">
        <v>772</v>
      </c>
      <c r="E12" s="13" t="n">
        <v>772</v>
      </c>
      <c r="F12" s="14" t="inlineStr"/>
      <c r="G12" s="15" t="inlineStr">
        <is>
          <t>markdown：据え置き</t>
        </is>
      </c>
    </row>
    <row r="13">
      <c r="A13" s="16" t="inlineStr">
        <is>
          <t>機械事業</t>
        </is>
      </c>
      <c r="B13" s="17" t="n">
        <v>578</v>
      </c>
      <c r="C13" s="17" t="n">
        <v>312</v>
      </c>
      <c r="D13" s="17" t="inlineStr">
        <is>
          <t>TODO</t>
        </is>
      </c>
      <c r="E13" s="17" t="inlineStr">
        <is>
          <t>TODO</t>
        </is>
      </c>
      <c r="F13" s="18" t="inlineStr"/>
      <c r="G13" s="19" t="inlineStr">
        <is>
          <t>yuho開示。FY25は前期比-46.1%。汎用機の売上はボラあり</t>
        </is>
      </c>
    </row>
    <row r="14">
      <c r="A14" s="16" t="inlineStr">
        <is>
          <t>資材事業</t>
        </is>
      </c>
      <c r="B14" s="17" t="n">
        <v>169</v>
      </c>
      <c r="C14" s="17" t="n">
        <v>403</v>
      </c>
      <c r="D14" s="17" t="inlineStr">
        <is>
          <t>TODO</t>
        </is>
      </c>
      <c r="E14" s="17" t="inlineStr">
        <is>
          <t>TODO</t>
        </is>
      </c>
      <c r="F14" s="18" t="inlineStr"/>
      <c r="G14" s="19" t="inlineStr">
        <is>
          <t>yuho開示。FY25は前期比+138.8%</t>
        </is>
      </c>
    </row>
    <row r="15">
      <c r="A15" s="16" t="inlineStr">
        <is>
          <t>その他事業</t>
        </is>
      </c>
      <c r="B15" s="17" t="n">
        <v>8</v>
      </c>
      <c r="C15" s="17" t="n">
        <v>19</v>
      </c>
      <c r="D15" s="17" t="inlineStr">
        <is>
          <t>TODO</t>
        </is>
      </c>
      <c r="E15" s="17" t="inlineStr">
        <is>
          <t>TODO</t>
        </is>
      </c>
      <c r="F15" s="18" t="inlineStr"/>
      <c r="G15" s="19" t="inlineStr">
        <is>
          <t>yuho開示</t>
        </is>
      </c>
    </row>
    <row r="17">
      <c r="A17" s="3" t="inlineStr">
        <is>
          <t>【GPU向けCZシリーズ 因数分解】</t>
        </is>
      </c>
      <c r="F17" s="4" t="inlineStr"/>
      <c r="G17" s="5" t="inlineStr"/>
    </row>
    <row r="18">
      <c r="A18" s="16" t="inlineStr">
        <is>
          <t>GPU向け基板生産数 (相対値)</t>
        </is>
      </c>
      <c r="B18" s="20" t="n">
        <v>1</v>
      </c>
      <c r="C18" s="20" t="n">
        <v>1.3</v>
      </c>
      <c r="D18" s="20" t="n">
        <v>1.56</v>
      </c>
      <c r="E18" s="20" t="n">
        <v>1.72</v>
      </c>
      <c r="F18" s="18" t="inlineStr">
        <is>
          <t>★★</t>
        </is>
      </c>
      <c r="G18" s="19" t="inlineStr">
        <is>
          <t>markdown：FY25+30%, FY26+20%, FY27+10%。電力制約での鈍化を保守的に織り込み</t>
        </is>
      </c>
    </row>
    <row r="19">
      <c r="A19" s="8" t="inlineStr">
        <is>
          <t xml:space="preserve">　基板生産数 YoY</t>
        </is>
      </c>
      <c r="B19" s="9" t="n"/>
      <c r="C19" s="9" t="n">
        <v>0.3</v>
      </c>
      <c r="D19" s="9" t="n">
        <v>0.2</v>
      </c>
      <c r="E19" s="9" t="n">
        <v>0.1</v>
      </c>
      <c r="F19" s="10" t="inlineStr"/>
      <c r="G19" s="11" t="inlineStr">
        <is>
          <t>増加率の年度別表示 (markdown)</t>
        </is>
      </c>
    </row>
    <row r="20">
      <c r="A20" s="16" t="inlineStr">
        <is>
          <t>銅箔層数 (加重平均)</t>
        </is>
      </c>
      <c r="B20" s="21" t="n">
        <v>13</v>
      </c>
      <c r="C20" s="21" t="n">
        <v>14</v>
      </c>
      <c r="D20" s="21" t="n">
        <v>16</v>
      </c>
      <c r="E20" s="21" t="n">
        <v>17</v>
      </c>
      <c r="F20" s="18" t="inlineStr">
        <is>
          <t>★★</t>
        </is>
      </c>
      <c r="G20" s="19" t="inlineStr">
        <is>
          <t>markdown：Hopper12 / Blackwell14 / Rubin18 を世代ミックスで加重平均 (モルガン・スタンレーレポート)</t>
        </is>
      </c>
    </row>
    <row r="21">
      <c r="A21" s="16" t="inlineStr">
        <is>
          <t>銅箔面積 (mm²)</t>
        </is>
      </c>
      <c r="B21" s="17" t="n">
        <v>5750</v>
      </c>
      <c r="C21" s="17" t="n">
        <v>6800</v>
      </c>
      <c r="D21" s="17" t="n">
        <v>8650</v>
      </c>
      <c r="E21" s="17" t="n">
        <v>10700</v>
      </c>
      <c r="F21" s="18" t="inlineStr">
        <is>
          <t>★★★</t>
        </is>
      </c>
      <c r="G21" s="19" t="inlineStr">
        <is>
          <t>markdown：Hopper4,000 / Blackwell7,500 / Rubin12,000 mm²を世代ミックスで加重平均</t>
        </is>
      </c>
    </row>
    <row r="22">
      <c r="A22" s="16" t="inlineStr">
        <is>
          <t>使用量補正</t>
        </is>
      </c>
      <c r="B22" s="22" t="n">
        <v>0.5</v>
      </c>
      <c r="C22" s="22" t="n">
        <v>0.5</v>
      </c>
      <c r="D22" s="22" t="n">
        <v>0.5</v>
      </c>
      <c r="E22" s="22" t="n">
        <v>0.5</v>
      </c>
      <c r="F22" s="18" t="inlineStr"/>
      <c r="G22" s="19" t="inlineStr">
        <is>
          <t>markdown：GPU向けは多層化のため薄く粗化 → 汎用の半分(50%)</t>
        </is>
      </c>
    </row>
    <row r="23">
      <c r="A23" s="6" t="inlineStr">
        <is>
          <t xml:space="preserve">  ▽ NVIDIA世代別比率</t>
        </is>
      </c>
      <c r="F23" s="4" t="inlineStr"/>
      <c r="G23" s="5" t="inlineStr"/>
    </row>
    <row r="24">
      <c r="A24" s="12" t="inlineStr">
        <is>
          <t xml:space="preserve">　Hopper</t>
        </is>
      </c>
      <c r="B24" s="23" t="n">
        <v>0.5</v>
      </c>
      <c r="C24" s="23" t="n">
        <v>0.2</v>
      </c>
      <c r="D24" s="23" t="n">
        <v>0.1</v>
      </c>
      <c r="E24" s="23" t="n">
        <v>0.05</v>
      </c>
      <c r="F24" s="14" t="inlineStr"/>
      <c r="G24" s="15" t="inlineStr">
        <is>
          <t>markdown : H100/H200世代</t>
        </is>
      </c>
    </row>
    <row r="25">
      <c r="A25" s="12" t="inlineStr">
        <is>
          <t xml:space="preserve">　Blackwell</t>
        </is>
      </c>
      <c r="B25" s="23" t="n">
        <v>0.5</v>
      </c>
      <c r="C25" s="23" t="n">
        <v>0.8</v>
      </c>
      <c r="D25" s="23" t="n">
        <v>0.7</v>
      </c>
      <c r="E25" s="23" t="n">
        <v>0.2</v>
      </c>
      <c r="F25" s="14" t="inlineStr"/>
      <c r="G25" s="15" t="inlineStr">
        <is>
          <t>markdown : B100/B200世代</t>
        </is>
      </c>
    </row>
    <row r="26">
      <c r="A26" s="12" t="inlineStr">
        <is>
          <t xml:space="preserve">　Rubin</t>
        </is>
      </c>
      <c r="B26" s="23" t="n">
        <v>0</v>
      </c>
      <c r="C26" s="23" t="n">
        <v>0</v>
      </c>
      <c r="D26" s="23" t="n">
        <v>0.25</v>
      </c>
      <c r="E26" s="23" t="n">
        <v>0.75</v>
      </c>
      <c r="F26" s="14" t="inlineStr"/>
      <c r="G26" s="15" t="inlineStr">
        <is>
          <t>markdown : 次世代。FY27に主役入れ替わり</t>
        </is>
      </c>
    </row>
    <row r="28">
      <c r="A28" s="3" t="inlineStr">
        <is>
          <t>【粗利】</t>
        </is>
      </c>
      <c r="F28" s="4" t="inlineStr"/>
      <c r="G28" s="5" t="inlineStr"/>
    </row>
    <row r="29">
      <c r="A29" s="6" t="inlineStr">
        <is>
          <t>売上原価</t>
        </is>
      </c>
      <c r="B29" s="7" t="n">
        <v>7132</v>
      </c>
      <c r="C29" s="7" t="n">
        <v>7970</v>
      </c>
      <c r="D29" s="7" t="inlineStr">
        <is>
          <t>TODO</t>
        </is>
      </c>
      <c r="E29" s="7" t="inlineStr">
        <is>
          <t>TODO</t>
        </is>
      </c>
      <c r="F29" s="4" t="inlineStr"/>
      <c r="G29" s="5" t="inlineStr">
        <is>
          <t>yuho開示。FY26-FY27は売上×(1-粗利率)</t>
        </is>
      </c>
    </row>
    <row r="30">
      <c r="A30" s="6" t="inlineStr">
        <is>
          <t>売上総利益</t>
        </is>
      </c>
      <c r="B30" s="7" t="n">
        <v>11101</v>
      </c>
      <c r="C30" s="7" t="n">
        <v>12977</v>
      </c>
      <c r="D30" s="7" t="inlineStr">
        <is>
          <t>TODO: 15,321</t>
        </is>
      </c>
      <c r="E30" s="7" t="inlineStr">
        <is>
          <t>TODO: 18,329</t>
        </is>
      </c>
      <c r="F30" s="4" t="inlineStr"/>
      <c r="G30" s="5" t="inlineStr">
        <is>
          <t>yuho開示。markdownでは FY26 15,321 / FY27 18,329 を見込む</t>
        </is>
      </c>
    </row>
    <row r="31">
      <c r="A31" s="8" t="inlineStr">
        <is>
          <t xml:space="preserve">　粗利率</t>
        </is>
      </c>
      <c r="B31" s="9" t="n">
        <v>0.608807721838324</v>
      </c>
      <c r="C31" s="9" t="n">
        <v>0.6195159211342913</v>
      </c>
      <c r="D31" s="9" t="n">
        <v>0.651</v>
      </c>
      <c r="E31" s="9" t="n">
        <v>0.665</v>
      </c>
      <c r="F31" s="10" t="inlineStr"/>
      <c r="G31" s="11" t="inlineStr">
        <is>
          <t>FY24実 60.9% → FY25実 62.0% → FY26-27 で密着向上剤比率上昇により改善</t>
        </is>
      </c>
    </row>
    <row r="32">
      <c r="A32" s="12" t="inlineStr">
        <is>
          <t xml:space="preserve">　密着向上剤 粗利率</t>
        </is>
      </c>
      <c r="B32" s="23" t="n">
        <v>0.75</v>
      </c>
      <c r="C32" s="23" t="n">
        <v>0.75</v>
      </c>
      <c r="D32" s="23" t="n">
        <v>0.75</v>
      </c>
      <c r="E32" s="23" t="n">
        <v>0.75</v>
      </c>
      <c r="F32" s="14" t="inlineStr"/>
      <c r="G32" s="15" t="inlineStr">
        <is>
          <t>markdown：四半期ごとの方程式から推計。75%</t>
        </is>
      </c>
    </row>
    <row r="33">
      <c r="A33" s="12" t="inlineStr">
        <is>
          <t xml:space="preserve">　エッチング剤 粗利率</t>
        </is>
      </c>
      <c r="B33" s="23" t="n">
        <v>0.45</v>
      </c>
      <c r="C33" s="23" t="n">
        <v>0.45</v>
      </c>
      <c r="D33" s="23" t="n">
        <v>0.45</v>
      </c>
      <c r="E33" s="23" t="n">
        <v>0.45</v>
      </c>
      <c r="F33" s="14" t="inlineStr"/>
      <c r="G33" s="15" t="inlineStr">
        <is>
          <t>markdown：四半期ごとの方程式から推計。45%</t>
        </is>
      </c>
    </row>
    <row r="35">
      <c r="A35" s="3" t="inlineStr">
        <is>
          <t>【販管費】</t>
        </is>
      </c>
      <c r="F35" s="4" t="inlineStr"/>
      <c r="G35" s="5" t="inlineStr"/>
    </row>
    <row r="36">
      <c r="A36" s="6" t="inlineStr">
        <is>
          <t>販管費 合計</t>
        </is>
      </c>
      <c r="B36" s="7" t="n">
        <v>6539</v>
      </c>
      <c r="C36" s="7" t="n">
        <v>7229</v>
      </c>
      <c r="D36" s="7" t="inlineStr">
        <is>
          <t>TODO: 7,553</t>
        </is>
      </c>
      <c r="E36" s="7" t="inlineStr">
        <is>
          <t>TODO: 8,864</t>
        </is>
      </c>
      <c r="F36" s="4" t="inlineStr"/>
      <c r="G36" s="5" t="inlineStr">
        <is>
          <t>yuho開示。FY26/FY27はmarkdown</t>
        </is>
      </c>
    </row>
    <row r="37">
      <c r="A37" s="12" t="inlineStr">
        <is>
          <t xml:space="preserve">　給料及び賞与</t>
        </is>
      </c>
      <c r="B37" s="13" t="n">
        <v>1858</v>
      </c>
      <c r="C37" s="13" t="n">
        <v>1981</v>
      </c>
      <c r="D37" s="13" t="inlineStr">
        <is>
          <t>TODO</t>
        </is>
      </c>
      <c r="E37" s="13" t="inlineStr">
        <is>
          <t>TODO</t>
        </is>
      </c>
      <c r="F37" s="14" t="inlineStr"/>
      <c r="G37" s="15" t="inlineStr">
        <is>
          <t>27/12は工場稼働分込み (markdown)</t>
        </is>
      </c>
    </row>
    <row r="38">
      <c r="A38" s="12" t="inlineStr">
        <is>
          <t xml:space="preserve">　荷造運搬費</t>
        </is>
      </c>
      <c r="B38" s="13" t="n">
        <v>780</v>
      </c>
      <c r="C38" s="13" t="n">
        <v>872</v>
      </c>
      <c r="D38" s="13" t="inlineStr">
        <is>
          <t>TODO</t>
        </is>
      </c>
      <c r="E38" s="13" t="inlineStr">
        <is>
          <t>TODO</t>
        </is>
      </c>
      <c r="F38" s="14" t="inlineStr"/>
      <c r="G38" s="15" t="inlineStr">
        <is>
          <t>売上に比例 (markdown)</t>
        </is>
      </c>
    </row>
    <row r="39">
      <c r="A39" s="12" t="inlineStr">
        <is>
          <t xml:space="preserve">　貸倒引当金繰入額</t>
        </is>
      </c>
      <c r="B39" s="13" t="n">
        <v>1</v>
      </c>
      <c r="C39" s="13" t="n">
        <v>2</v>
      </c>
      <c r="D39" s="13" t="inlineStr">
        <is>
          <t>TODO</t>
        </is>
      </c>
      <c r="E39" s="13" t="inlineStr">
        <is>
          <t>TODO</t>
        </is>
      </c>
      <c r="F39" s="14" t="inlineStr"/>
      <c r="G39" s="15" t="inlineStr">
        <is>
          <t>据え置き (markdown)</t>
        </is>
      </c>
    </row>
    <row r="40">
      <c r="A40" s="12" t="inlineStr">
        <is>
          <t xml:space="preserve">　賞与引当金繰入額</t>
        </is>
      </c>
      <c r="B40" s="13" t="n">
        <v>231</v>
      </c>
      <c r="C40" s="13" t="n">
        <v>266</v>
      </c>
      <c r="D40" s="13" t="inlineStr">
        <is>
          <t>TODO</t>
        </is>
      </c>
      <c r="E40" s="13" t="inlineStr">
        <is>
          <t>TODO</t>
        </is>
      </c>
      <c r="F40" s="14" t="inlineStr"/>
      <c r="G40" s="15" t="inlineStr">
        <is>
          <t>据え置き (markdown)</t>
        </is>
      </c>
    </row>
    <row r="41">
      <c r="A41" s="12" t="inlineStr">
        <is>
          <t xml:space="preserve">　役員賞与引当金繰入額</t>
        </is>
      </c>
      <c r="B41" s="13" t="n">
        <v>50</v>
      </c>
      <c r="C41" s="13" t="n">
        <v>56</v>
      </c>
      <c r="D41" s="13" t="inlineStr">
        <is>
          <t>TODO</t>
        </is>
      </c>
      <c r="E41" s="13" t="inlineStr">
        <is>
          <t>TODO</t>
        </is>
      </c>
      <c r="F41" s="14" t="inlineStr"/>
      <c r="G41" s="15" t="inlineStr">
        <is>
          <t>据え置き (markdown)</t>
        </is>
      </c>
    </row>
    <row r="42">
      <c r="A42" s="12" t="inlineStr">
        <is>
          <t xml:space="preserve">　株式報酬引当金繰入額</t>
        </is>
      </c>
      <c r="B42" s="13" t="n">
        <v>24</v>
      </c>
      <c r="C42" s="13" t="n">
        <v>55</v>
      </c>
      <c r="D42" s="13" t="inlineStr">
        <is>
          <t>TODO</t>
        </is>
      </c>
      <c r="E42" s="13" t="inlineStr">
        <is>
          <t>TODO</t>
        </is>
      </c>
      <c r="F42" s="14" t="inlineStr"/>
      <c r="G42" s="15" t="inlineStr">
        <is>
          <t>据え置き (markdown)。FY25実は予想+131%超過</t>
        </is>
      </c>
    </row>
    <row r="43">
      <c r="A43" s="12" t="inlineStr">
        <is>
          <t xml:space="preserve">　退職給付費用</t>
        </is>
      </c>
      <c r="B43" s="13" t="n">
        <v>103</v>
      </c>
      <c r="C43" s="13" t="n">
        <v>88</v>
      </c>
      <c r="D43" s="13" t="inlineStr">
        <is>
          <t>TODO</t>
        </is>
      </c>
      <c r="E43" s="13" t="inlineStr">
        <is>
          <t>TODO</t>
        </is>
      </c>
      <c r="F43" s="14" t="inlineStr"/>
      <c r="G43" s="15" t="inlineStr">
        <is>
          <t>据え置き (markdown)</t>
        </is>
      </c>
    </row>
    <row r="44">
      <c r="A44" s="12" t="inlineStr">
        <is>
          <t xml:space="preserve">　研究開発費</t>
        </is>
      </c>
      <c r="B44" s="13" t="n">
        <v>1334</v>
      </c>
      <c r="C44" s="13" t="n">
        <v>1379</v>
      </c>
      <c r="D44" s="13" t="inlineStr">
        <is>
          <t>TODO</t>
        </is>
      </c>
      <c r="E44" s="13" t="inlineStr">
        <is>
          <t>TODO</t>
        </is>
      </c>
      <c r="F44" s="14" t="inlineStr"/>
      <c r="G44" s="15" t="inlineStr">
        <is>
          <t>売上の約10%目標 (markdown)。FY25実は予想を下回り</t>
        </is>
      </c>
    </row>
    <row r="45">
      <c r="A45" s="12" t="inlineStr">
        <is>
          <t xml:space="preserve">　減価償却費 (新工場分)</t>
        </is>
      </c>
      <c r="B45" s="13" t="n">
        <v>0</v>
      </c>
      <c r="C45" s="13" t="n">
        <v>0</v>
      </c>
      <c r="D45" s="13" t="n">
        <v>0</v>
      </c>
      <c r="E45" s="13" t="n">
        <v>225</v>
      </c>
      <c r="F45" s="14" t="inlineStr"/>
      <c r="G45" s="15" t="inlineStr">
        <is>
          <t>markdown：IR資料より。新工場(2026年12月本格稼働)の減価償却は2~2.5億/年</t>
        </is>
      </c>
    </row>
    <row r="47">
      <c r="A47" s="3" t="inlineStr">
        <is>
          <t>【利益】</t>
        </is>
      </c>
      <c r="F47" s="4" t="inlineStr"/>
      <c r="G47" s="5" t="inlineStr"/>
    </row>
    <row r="48">
      <c r="A48" s="6" t="inlineStr">
        <is>
          <t>営業利益</t>
        </is>
      </c>
      <c r="B48" s="7" t="n">
        <v>4562</v>
      </c>
      <c r="C48" s="7" t="n">
        <v>5748</v>
      </c>
      <c r="D48" s="7" t="inlineStr">
        <is>
          <t>TODO: 7,769</t>
        </is>
      </c>
      <c r="E48" s="7" t="inlineStr">
        <is>
          <t>TODO: 9,465</t>
        </is>
      </c>
      <c r="F48" s="4" t="inlineStr"/>
      <c r="G48" s="5" t="inlineStr">
        <is>
          <t>yuho開示。markdownでは FY26 7,769 / FY27 9,465 を見込む</t>
        </is>
      </c>
    </row>
    <row r="49">
      <c r="A49" s="8" t="inlineStr">
        <is>
          <t xml:space="preserve">　営業利益率</t>
        </is>
      </c>
      <c r="B49" s="9" t="n">
        <v>0.2501919491060656</v>
      </c>
      <c r="C49" s="9" t="n">
        <v>0.274406836301141</v>
      </c>
      <c r="D49" s="9" t="n">
        <v>0.33</v>
      </c>
      <c r="E49" s="9" t="n">
        <v>0.343</v>
      </c>
      <c r="F49" s="10" t="inlineStr"/>
      <c r="G49" s="11" t="inlineStr">
        <is>
          <t>FY24実 25.0% → FY25実 27.4% → markdownで33.0% → 34.3% へ</t>
        </is>
      </c>
    </row>
    <row r="50">
      <c r="A50" s="6" t="inlineStr">
        <is>
          <t>経常利益</t>
        </is>
      </c>
      <c r="B50" s="7" t="n">
        <v>4682</v>
      </c>
      <c r="C50" s="7" t="n">
        <v>6051</v>
      </c>
      <c r="D50" s="7" t="inlineStr">
        <is>
          <t>TODO</t>
        </is>
      </c>
      <c r="E50" s="7" t="inlineStr">
        <is>
          <t>TODO</t>
        </is>
      </c>
      <c r="F50" s="4" t="inlineStr"/>
      <c r="G50" s="5" t="inlineStr">
        <is>
          <t>yuho開示。営業外損益は小幅</t>
        </is>
      </c>
    </row>
    <row r="51">
      <c r="A51" s="6" t="inlineStr">
        <is>
          <t>親会社株主帰属純利益</t>
        </is>
      </c>
      <c r="B51" s="7" t="n">
        <v>2291</v>
      </c>
      <c r="C51" s="7" t="n">
        <v>5028</v>
      </c>
      <c r="D51" s="7" t="inlineStr">
        <is>
          <t>TODO: 5,826</t>
        </is>
      </c>
      <c r="E51" s="7" t="inlineStr">
        <is>
          <t>TODO: 7,099</t>
        </is>
      </c>
      <c r="F51" s="4" t="inlineStr"/>
      <c r="G51" s="5" t="inlineStr">
        <is>
          <t>yuho開示。markdownでは FY26 5,826 / FY27 7,099。FY24は税効果会計の影響で実効税率49.8%だった</t>
        </is>
      </c>
    </row>
    <row r="52">
      <c r="A52" s="12" t="inlineStr">
        <is>
          <t xml:space="preserve">　実効税率</t>
        </is>
      </c>
      <c r="B52" s="23" t="n">
        <v>0.498</v>
      </c>
      <c r="C52" s="23" t="n">
        <v>0.223</v>
      </c>
      <c r="D52" s="23" t="n">
        <v>0.25</v>
      </c>
      <c r="E52" s="23" t="n">
        <v>0.25</v>
      </c>
      <c r="F52" s="14" t="inlineStr"/>
      <c r="G52" s="15" t="inlineStr">
        <is>
          <t>FY24は税効果関係で異常値49.8%。FY25実 22.3% → markdownはFY26-27で25.0%と置く</t>
        </is>
      </c>
    </row>
    <row r="54">
      <c r="A54" s="3" t="inlineStr">
        <is>
          <t>【工場稼働率】</t>
        </is>
      </c>
      <c r="F54" s="4" t="inlineStr"/>
      <c r="G54" s="5" t="inlineStr"/>
    </row>
    <row r="55">
      <c r="A55" s="6" t="inlineStr">
        <is>
          <t>工場稼働率</t>
        </is>
      </c>
      <c r="B55" s="24" t="n">
        <v>0.433</v>
      </c>
      <c r="C55" s="24" t="n">
        <v>0.485</v>
      </c>
      <c r="D55" s="24" t="n">
        <v>0.587</v>
      </c>
      <c r="E55" s="24" t="n">
        <v>0.538</v>
      </c>
      <c r="F55" s="4" t="inlineStr"/>
      <c r="G55" s="5" t="inlineStr">
        <is>
          <t>生産量 ÷ 工場キャパ。供給責任ありmax 7-8割。FY27に新工場稼働で分母が増えるため低下</t>
        </is>
      </c>
    </row>
    <row r="56">
      <c r="A56" s="12" t="inlineStr">
        <is>
          <t xml:space="preserve">　生産量 (トン)</t>
        </is>
      </c>
      <c r="B56" s="13" t="n">
        <v>42075</v>
      </c>
      <c r="C56" s="13" t="n">
        <v>47153</v>
      </c>
      <c r="D56" s="13" t="n">
        <v>57084</v>
      </c>
      <c r="E56" s="13" t="n">
        <v>68379</v>
      </c>
      <c r="F56" s="14" t="inlineStr"/>
      <c r="G56" s="15" t="inlineStr">
        <is>
          <t>markdown：CZ生産量。GPU向け薬剤量に概ね連動</t>
        </is>
      </c>
    </row>
    <row r="57">
      <c r="A57" s="12" t="inlineStr">
        <is>
          <t xml:space="preserve">　工場キャパ (トン)</t>
        </is>
      </c>
      <c r="B57" s="13" t="n">
        <v>97200</v>
      </c>
      <c r="C57" s="13" t="n">
        <v>97200</v>
      </c>
      <c r="D57" s="13" t="n">
        <v>97200</v>
      </c>
      <c r="E57" s="13" t="n">
        <v>127200</v>
      </c>
      <c r="F57" s="14" t="inlineStr">
        <is>
          <t>★</t>
        </is>
      </c>
      <c r="G57" s="15" t="inlineStr">
        <is>
          <t>markdown：26/12新工場で +3割増 (127,200トン)。供給責任ありmax 7-8割</t>
        </is>
      </c>
    </row>
    <row r="59">
      <c r="A59" s="3" t="inlineStr">
        <is>
          <t>【株価・PER感応度】</t>
        </is>
      </c>
      <c r="F59" s="4" t="inlineStr"/>
      <c r="G59" s="5" t="inlineStr"/>
    </row>
    <row r="60">
      <c r="A60" s="16" t="inlineStr">
        <is>
          <t>発行済株式数 (千株, 期末)</t>
        </is>
      </c>
      <c r="B60" s="17" t="n">
        <v>20071</v>
      </c>
      <c r="C60" s="17" t="n">
        <v>19571</v>
      </c>
      <c r="D60" s="17" t="n">
        <v>19571</v>
      </c>
      <c r="E60" s="17" t="n">
        <v>19571</v>
      </c>
      <c r="F60" s="18" t="inlineStr"/>
      <c r="G60" s="19" t="inlineStr">
        <is>
          <t>yuho開示。FY25/8/29に自己株式消却 △500千株。FY26-FY27は据え置き想定</t>
        </is>
      </c>
    </row>
    <row r="61">
      <c r="A61" s="6" t="inlineStr">
        <is>
          <t>EPS (円)</t>
        </is>
      </c>
      <c r="B61" s="25" t="n">
        <v>122.38</v>
      </c>
      <c r="C61" s="25" t="n">
        <v>272.14</v>
      </c>
      <c r="D61" s="25" t="inlineStr">
        <is>
          <t>TODO</t>
        </is>
      </c>
      <c r="E61" s="25" t="inlineStr">
        <is>
          <t>TODO</t>
        </is>
      </c>
      <c r="F61" s="4" t="inlineStr"/>
      <c r="G61" s="5" t="inlineStr">
        <is>
          <t>yuho開示。FY26-FY27は純利益 ÷ 発行済株式数</t>
        </is>
      </c>
    </row>
    <row r="62">
      <c r="A62" s="12" t="inlineStr">
        <is>
          <t xml:space="preserve">　想定PER (ベスト)</t>
        </is>
      </c>
      <c r="B62" s="26" t="inlineStr">
        <is>
          <t>TODO: 30?</t>
        </is>
      </c>
      <c r="C62" s="26" t="inlineStr">
        <is>
          <t>TODO</t>
        </is>
      </c>
      <c r="D62" s="26" t="inlineStr">
        <is>
          <t>TODO</t>
        </is>
      </c>
      <c r="E62" s="26" t="inlineStr">
        <is>
          <t>TODO</t>
        </is>
      </c>
      <c r="F62" s="14" t="inlineStr"/>
      <c r="G62" s="15" t="inlineStr">
        <is>
          <t>同業比較で設定。半導体製造装置・電子材料平均は20-30倍レンジ</t>
        </is>
      </c>
    </row>
    <row r="63">
      <c r="A63" s="12" t="inlineStr">
        <is>
          <t xml:space="preserve">　想定PER (ノーマル)</t>
        </is>
      </c>
      <c r="B63" s="26" t="inlineStr">
        <is>
          <t>TODO: 27.5?</t>
        </is>
      </c>
      <c r="C63" s="26" t="inlineStr">
        <is>
          <t>TODO</t>
        </is>
      </c>
      <c r="D63" s="26" t="inlineStr">
        <is>
          <t>TODO</t>
        </is>
      </c>
      <c r="E63" s="26" t="inlineStr">
        <is>
          <t>TODO</t>
        </is>
      </c>
      <c r="F63" s="14" t="inlineStr"/>
      <c r="G63" s="15" t="inlineStr">
        <is>
          <t>現状PER水準</t>
        </is>
      </c>
    </row>
    <row r="64">
      <c r="A64" s="12" t="inlineStr">
        <is>
          <t xml:space="preserve">　想定PER (ワースト)</t>
        </is>
      </c>
      <c r="B64" s="26" t="inlineStr">
        <is>
          <t>TODO: 25?</t>
        </is>
      </c>
      <c r="C64" s="26" t="inlineStr">
        <is>
          <t>TODO</t>
        </is>
      </c>
      <c r="D64" s="26" t="inlineStr">
        <is>
          <t>TODO</t>
        </is>
      </c>
      <c r="E64" s="26" t="inlineStr">
        <is>
          <t>TODO</t>
        </is>
      </c>
      <c r="F64" s="14" t="inlineStr"/>
      <c r="G64" s="15" t="inlineStr">
        <is>
          <t>ダウンサイドシナリオ</t>
        </is>
      </c>
    </row>
    <row r="65">
      <c r="A65" s="6" t="inlineStr">
        <is>
          <t>目標株価 ベスト (円)</t>
        </is>
      </c>
      <c r="B65" s="7" t="inlineStr">
        <is>
          <t>TODO</t>
        </is>
      </c>
      <c r="C65" s="7" t="inlineStr">
        <is>
          <t>TODO</t>
        </is>
      </c>
      <c r="D65" s="7" t="inlineStr">
        <is>
          <t>TODO</t>
        </is>
      </c>
      <c r="E65" s="7" t="inlineStr">
        <is>
          <t>TODO</t>
        </is>
      </c>
      <c r="F65" s="4" t="inlineStr"/>
      <c r="G65" s="5" t="inlineStr">
        <is>
          <t>EPS × ベストPER</t>
        </is>
      </c>
    </row>
    <row r="66">
      <c r="A66" s="6" t="inlineStr">
        <is>
          <t>目標株価 ノーマル (円)</t>
        </is>
      </c>
      <c r="B66" s="7" t="inlineStr">
        <is>
          <t>TODO</t>
        </is>
      </c>
      <c r="C66" s="7" t="inlineStr">
        <is>
          <t>TODO</t>
        </is>
      </c>
      <c r="D66" s="7" t="inlineStr">
        <is>
          <t>TODO</t>
        </is>
      </c>
      <c r="E66" s="7" t="inlineStr">
        <is>
          <t>TODO</t>
        </is>
      </c>
      <c r="F66" s="4" t="inlineStr"/>
      <c r="G66" s="5" t="inlineStr">
        <is>
          <t>EPS × ノーマルPER</t>
        </is>
      </c>
    </row>
    <row r="67">
      <c r="A67" s="6" t="inlineStr">
        <is>
          <t>目標株価 ワースト (円)</t>
        </is>
      </c>
      <c r="B67" s="7" t="inlineStr">
        <is>
          <t>TODO</t>
        </is>
      </c>
      <c r="C67" s="7" t="inlineStr">
        <is>
          <t>TODO</t>
        </is>
      </c>
      <c r="D67" s="7" t="inlineStr">
        <is>
          <t>TODO</t>
        </is>
      </c>
      <c r="E67" s="7" t="inlineStr">
        <is>
          <t>TODO</t>
        </is>
      </c>
      <c r="F67" s="4" t="inlineStr"/>
      <c r="G67" s="5" t="inlineStr">
        <is>
          <t>EPS × ワーストPER</t>
        </is>
      </c>
    </row>
    <row r="69">
      <c r="A69" s="3" t="inlineStr">
        <is>
          <t>【ピア比較 (PER)】</t>
        </is>
      </c>
      <c r="F69" s="4" t="inlineStr"/>
      <c r="G69" s="5" t="inlineStr"/>
    </row>
    <row r="70">
      <c r="A70" s="16" t="inlineStr">
        <is>
          <t>メック (4971) 現状PER</t>
        </is>
      </c>
      <c r="B70" s="27" t="inlineStr">
        <is>
          <t>TODO: 現値</t>
        </is>
      </c>
      <c r="C70" s="27" t="inlineStr"/>
      <c r="D70" s="27" t="inlineStr"/>
      <c r="E70" s="27" t="inlineStr"/>
      <c r="F70" s="18" t="inlineStr"/>
      <c r="G70" s="19" t="inlineStr">
        <is>
          <t>現株価 / EPS(直近実績) で算出</t>
        </is>
      </c>
    </row>
    <row r="71">
      <c r="A71" s="12" t="inlineStr">
        <is>
          <t xml:space="preserve">　ピア① 半導体材料 (信越化学、JSR等)</t>
        </is>
      </c>
      <c r="B71" s="26" t="inlineStr">
        <is>
          <t>TODO</t>
        </is>
      </c>
      <c r="C71" s="26" t="inlineStr"/>
      <c r="D71" s="26" t="inlineStr"/>
      <c r="E71" s="26" t="inlineStr"/>
      <c r="F71" s="14" t="inlineStr"/>
      <c r="G71" s="15" t="inlineStr">
        <is>
          <t>多軸選定 (業態：半導体材料)</t>
        </is>
      </c>
    </row>
    <row r="72">
      <c r="A72" s="12" t="inlineStr">
        <is>
          <t xml:space="preserve">　ピア② パッケージ基板メーカー (イビデン等)</t>
        </is>
      </c>
      <c r="B72" s="26" t="inlineStr">
        <is>
          <t>TODO</t>
        </is>
      </c>
      <c r="C72" s="26" t="inlineStr"/>
      <c r="D72" s="26" t="inlineStr"/>
      <c r="E72" s="26" t="inlineStr"/>
      <c r="F72" s="14" t="inlineStr"/>
      <c r="G72" s="15" t="inlineStr">
        <is>
          <t>多軸選定 (バリューチェーン上の隣接企業)</t>
        </is>
      </c>
    </row>
    <row r="73">
      <c r="A73" s="12" t="inlineStr">
        <is>
          <t xml:space="preserve">　ピア③ 化学品ニッチ独占企業</t>
        </is>
      </c>
      <c r="B73" s="26" t="inlineStr">
        <is>
          <t>TODO</t>
        </is>
      </c>
      <c r="C73" s="26" t="inlineStr"/>
      <c r="D73" s="26" t="inlineStr"/>
      <c r="E73" s="26" t="inlineStr"/>
      <c r="F73" s="14" t="inlineStr"/>
      <c r="G73" s="15" t="inlineStr">
        <is>
          <t>多軸選定 (ビジネスモデル：ニッチ独占)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2026-05-12T15:36:57Z</dcterms:created>
  <dcterms:modified xmlns:dcterms="http://purl.org/dc/terms/" xmlns:xsi="http://www.w3.org/2001/XMLSchema-instance" xsi:type="dcterms:W3CDTF">2026-05-12T15:36:57Z</dcterms:modified>
</cp:coreProperties>
</file>