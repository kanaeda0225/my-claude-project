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112_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  <sz val="11"/>
    </font>
    <font>
      <b val="1"/>
      <color rgb="00000000"/>
    </font>
    <font>
      <color rgb="001F4E78"/>
      <sz val="11"/>
    </font>
    <font>
      <color rgb="001F4E78"/>
    </font>
    <font>
      <b val="1"/>
      <color rgb="001F4E78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連結損益と利益率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'4112_valuation'!A26</f>
            </strRef>
          </tx>
          <spPr>
            <a:ln xmlns:a="http://schemas.openxmlformats.org/drawingml/2006/main">
              <a:prstDash val="solid"/>
            </a:ln>
          </spPr>
          <cat>
            <numRef>
              <f>'4112_valuation'!$B$1:$E$1</f>
            </numRef>
          </cat>
          <val>
            <numRef>
              <f>'4112_valuation'!$B$26:$E$26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目標株価シナリオ別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'4112_valuation'!A34</f>
            </strRef>
          </tx>
          <spPr>
            <a:ln xmlns:a="http://schemas.openxmlformats.org/drawingml/2006/main">
              <a:prstDash val="solid"/>
            </a:ln>
          </spPr>
          <cat>
            <numRef>
              <f>'4112_valuation'!$B$1:$E$1</f>
            </numRef>
          </cat>
          <val>
            <numRef>
              <f>'4112_valuation'!$B$34:$E$34</f>
            </numRef>
          </val>
        </ser>
        <ser>
          <idx val="1"/>
          <order val="1"/>
          <tx>
            <strRef>
              <f>'4112_valuation'!A35</f>
            </strRef>
          </tx>
          <spPr>
            <a:ln xmlns:a="http://schemas.openxmlformats.org/drawingml/2006/main">
              <a:prstDash val="solid"/>
            </a:ln>
          </spPr>
          <cat>
            <numRef>
              <f>'4112_valuation'!$B$1:$E$1</f>
            </numRef>
          </cat>
          <val>
            <numRef>
              <f>'4112_valuation'!$B$35:$E$35</f>
            </numRef>
          </val>
        </ser>
        <ser>
          <idx val="2"/>
          <order val="2"/>
          <tx>
            <strRef>
              <f>'4112_valuation'!A36</f>
            </strRef>
          </tx>
          <spPr>
            <a:ln xmlns:a="http://schemas.openxmlformats.org/drawingml/2006/main">
              <a:prstDash val="solid"/>
            </a:ln>
          </spPr>
          <cat>
            <numRef>
              <f>'4112_valuation'!$B$1:$E$1</f>
            </numRef>
          </cat>
          <val>
            <numRef>
              <f>'4112_valuation'!$B$36:$E$36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タンデム採用率と歩留まり</a:t>
            </a:r>
          </a:p>
        </rich>
      </tx>
    </title>
    <plotArea>
      <barChart>
        <barDir val="col"/>
        <grouping val="clustered"/>
        <gapWidth val="150"/>
        <axId val="10"/>
        <axId val="100"/>
      </barChart>
      <lineChart>
        <grouping val="standard"/>
        <ser>
          <idx val="0"/>
          <order val="0"/>
          <tx>
            <strRef>
              <f>'4112_valuation'!A51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'4112_valuation'!$B$51:$E$51</f>
            </numRef>
          </val>
          <smooth val="0"/>
        </ser>
        <ser>
          <idx val="1"/>
          <order val="1"/>
          <tx>
            <strRef>
              <f>'4112_valuation'!A50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'4112_valuation'!$B$50:$E$50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41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50" customWidth="1" min="7" max="7"/>
  </cols>
  <sheetData>
    <row r="1">
      <c r="A1" s="1" t="inlineStr">
        <is>
          <t>従属変数=黒、独立変数=青</t>
        </is>
      </c>
      <c r="B1" s="2" t="inlineStr">
        <is>
          <t>FY24/12 実</t>
        </is>
      </c>
      <c r="C1" s="2" t="inlineStr">
        <is>
          <t>FY25/12 実</t>
        </is>
      </c>
      <c r="D1" s="2" t="inlineStr">
        <is>
          <t>FY26/12 予</t>
        </is>
      </c>
      <c r="E1" s="2" t="inlineStr">
        <is>
          <t>FY27/12 予</t>
        </is>
      </c>
      <c r="F1" s="2" t="inlineStr">
        <is>
          <t>重要度</t>
        </is>
      </c>
      <c r="G1" s="2" t="inlineStr">
        <is>
          <t>備考</t>
        </is>
      </c>
    </row>
    <row r="2">
      <c r="A2" s="3" t="inlineStr">
        <is>
          <t>【売上ドライバー：SFC OLED材料需要】</t>
        </is>
      </c>
      <c r="F2" s="4" t="inlineStr"/>
      <c r="G2" s="5" t="inlineStr"/>
    </row>
    <row r="3">
      <c r="A3" s="6" t="inlineStr">
        <is>
          <t>IT-OLED総需要 (相対指数)</t>
        </is>
      </c>
      <c r="B3" s="7" t="inlineStr">
        <is>
          <t>TODO: 24基準</t>
        </is>
      </c>
      <c r="C3" s="7" t="inlineStr">
        <is>
          <t>TODO</t>
        </is>
      </c>
      <c r="D3" s="7" t="inlineStr">
        <is>
          <t>TODO</t>
        </is>
      </c>
      <c r="E3" s="7" t="inlineStr">
        <is>
          <t>TODO</t>
        </is>
      </c>
      <c r="F3" s="4" t="inlineStr">
        <is>
          <t>★★★</t>
        </is>
      </c>
      <c r="G3" s="5" t="inlineStr">
        <is>
          <t>IT-OLEDパネル枚数 × 面積 × 積層数 ÷ 歩留 で算出される需要相対値</t>
        </is>
      </c>
    </row>
    <row r="4">
      <c r="A4" s="8" t="inlineStr">
        <is>
          <t xml:space="preserve">　IT-OLEDパネル出荷枚数 (千枚)</t>
        </is>
      </c>
      <c r="B4" s="9" t="inlineStr">
        <is>
          <t>TODO</t>
        </is>
      </c>
      <c r="C4" s="9" t="inlineStr">
        <is>
          <t>TODO</t>
        </is>
      </c>
      <c r="D4" s="9" t="inlineStr">
        <is>
          <t>TODO</t>
        </is>
      </c>
      <c r="E4" s="9" t="inlineStr">
        <is>
          <t>TODO</t>
        </is>
      </c>
      <c r="F4" s="10" t="inlineStr">
        <is>
          <t>★★★</t>
        </is>
      </c>
      <c r="G4" s="11" t="inlineStr">
        <is>
          <t>Omdia CAGR+37%。MacBook Pro 200万枚(2026年中)を含む</t>
        </is>
      </c>
    </row>
    <row r="5">
      <c r="A5" s="8" t="inlineStr">
        <is>
          <t xml:space="preserve">　　MacBook Pro 14/16inch (千枚)</t>
        </is>
      </c>
      <c r="B5" s="9" t="n">
        <v>0</v>
      </c>
      <c r="C5" s="9" t="n">
        <v>0</v>
      </c>
      <c r="D5" s="9" t="inlineStr">
        <is>
          <t>TODO: 2000?</t>
        </is>
      </c>
      <c r="E5" s="9" t="inlineStr">
        <is>
          <t>TODO</t>
        </is>
      </c>
      <c r="F5" s="10" t="inlineStr"/>
      <c r="G5" s="11" t="inlineStr">
        <is>
          <t>Digitimes：2026年中 200万枚目標(Apple向け)</t>
        </is>
      </c>
    </row>
    <row r="6">
      <c r="A6" s="8" t="inlineStr">
        <is>
          <t xml:space="preserve">　　iPad Pro (千枚)</t>
        </is>
      </c>
      <c r="B6" s="9" t="inlineStr">
        <is>
          <t>TODO</t>
        </is>
      </c>
      <c r="C6" s="9" t="inlineStr">
        <is>
          <t>TODO</t>
        </is>
      </c>
      <c r="D6" s="9" t="inlineStr">
        <is>
          <t>TODO</t>
        </is>
      </c>
      <c r="E6" s="9" t="inlineStr">
        <is>
          <t>TODO</t>
        </is>
      </c>
      <c r="F6" s="10" t="inlineStr"/>
      <c r="G6" s="11" t="inlineStr">
        <is>
          <t>2024年以降タンデム採用継続</t>
        </is>
      </c>
    </row>
    <row r="7">
      <c r="A7" s="8" t="inlineStr">
        <is>
          <t xml:space="preserve">　　その他IT-OLED (千枚)</t>
        </is>
      </c>
      <c r="B7" s="9" t="inlineStr">
        <is>
          <t>TODO</t>
        </is>
      </c>
      <c r="C7" s="9" t="inlineStr">
        <is>
          <t>TODO</t>
        </is>
      </c>
      <c r="D7" s="9" t="inlineStr">
        <is>
          <t>TODO</t>
        </is>
      </c>
      <c r="E7" s="9" t="inlineStr">
        <is>
          <t>TODO</t>
        </is>
      </c>
      <c r="F7" s="10" t="inlineStr"/>
      <c r="G7" s="11" t="inlineStr">
        <is>
          <t>2027年以降 iPad Air OLED・MacBook Air OLED など追加</t>
        </is>
      </c>
    </row>
    <row r="8">
      <c r="A8" s="8" t="inlineStr">
        <is>
          <t xml:space="preserve">　平均面積補正 (vs スマホ基準)</t>
        </is>
      </c>
      <c r="B8" s="12" t="n">
        <v>1</v>
      </c>
      <c r="C8" s="12" t="inlineStr">
        <is>
          <t>TODO</t>
        </is>
      </c>
      <c r="D8" s="12" t="inlineStr">
        <is>
          <t>TODO</t>
        </is>
      </c>
      <c r="E8" s="12" t="inlineStr">
        <is>
          <t>TODO</t>
        </is>
      </c>
      <c r="F8" s="10" t="inlineStr">
        <is>
          <t>★</t>
        </is>
      </c>
      <c r="G8" s="11" t="inlineStr">
        <is>
          <t>スマホ比 約25倍 (一時的な水準切り上げ)。MacBook Pro 16inchで約3,400cm²</t>
        </is>
      </c>
    </row>
    <row r="9">
      <c r="A9" s="8" t="inlineStr">
        <is>
          <t xml:space="preserve">　タンデム積層補正</t>
        </is>
      </c>
      <c r="B9" s="13" t="n">
        <v>0.3</v>
      </c>
      <c r="C9" s="13" t="inlineStr">
        <is>
          <t>TODO</t>
        </is>
      </c>
      <c r="D9" s="13" t="n">
        <v>0.36</v>
      </c>
      <c r="E9" s="13" t="inlineStr">
        <is>
          <t>TODO</t>
        </is>
      </c>
      <c r="F9" s="10" t="inlineStr">
        <is>
          <t>★★</t>
        </is>
      </c>
      <c r="G9" s="11" t="inlineStr">
        <is>
          <t>Omdia(2025年4月)：2024年 30%超 → 2026年 36%。タンデムは発光層2層で材料消費 +50〜75%</t>
        </is>
      </c>
    </row>
    <row r="10">
      <c r="A10" s="8" t="inlineStr">
        <is>
          <t xml:space="preserve">　歩留まり (A6ライン)</t>
        </is>
      </c>
      <c r="B10" s="13" t="inlineStr">
        <is>
          <t>TODO</t>
        </is>
      </c>
      <c r="C10" s="13" t="inlineStr">
        <is>
          <t>TODO</t>
        </is>
      </c>
      <c r="D10" s="13" t="n">
        <v>0.85</v>
      </c>
      <c r="E10" s="13" t="n">
        <v>0.9</v>
      </c>
      <c r="F10" s="10" t="inlineStr">
        <is>
          <t>★</t>
        </is>
      </c>
      <c r="G10" s="11" t="inlineStr">
        <is>
          <t>Digitimes 2026年4月下旬時点で85%超。目標90%</t>
        </is>
      </c>
    </row>
    <row r="12">
      <c r="A12" s="3" t="inlineStr">
        <is>
          <t>【SFC損益 (Samsung Fine Chemicals)】</t>
        </is>
      </c>
      <c r="F12" s="4" t="inlineStr"/>
      <c r="G12" s="5" t="inlineStr"/>
    </row>
    <row r="13">
      <c r="A13" s="6" t="inlineStr">
        <is>
          <t>SFC売上高 (百万円換算)</t>
        </is>
      </c>
      <c r="B13" s="14" t="inlineStr">
        <is>
          <t>TODO</t>
        </is>
      </c>
      <c r="C13" s="14" t="inlineStr">
        <is>
          <t>TODO</t>
        </is>
      </c>
      <c r="D13" s="14" t="inlineStr">
        <is>
          <t>TODO</t>
        </is>
      </c>
      <c r="E13" s="14" t="inlineStr">
        <is>
          <t>TODO</t>
        </is>
      </c>
      <c r="F13" s="4" t="inlineStr"/>
      <c r="G13" s="5" t="inlineStr">
        <is>
          <t>ホスト材料単価 × 出荷量。為替も影響</t>
        </is>
      </c>
    </row>
    <row r="14">
      <c r="A14" s="8" t="inlineStr">
        <is>
          <t xml:space="preserve">　ホスト材料平均単価</t>
        </is>
      </c>
      <c r="B14" s="9" t="inlineStr">
        <is>
          <t>TODO</t>
        </is>
      </c>
      <c r="C14" s="9" t="inlineStr">
        <is>
          <t>TODO</t>
        </is>
      </c>
      <c r="D14" s="9" t="inlineStr">
        <is>
          <t>TODO</t>
        </is>
      </c>
      <c r="E14" s="9" t="inlineStr">
        <is>
          <t>TODO</t>
        </is>
      </c>
      <c r="F14" s="10" t="inlineStr"/>
      <c r="G14" s="11" t="inlineStr">
        <is>
          <t>青色ホスト材料の㎏あたり単価。タンデム比率上昇で構成比変化</t>
        </is>
      </c>
    </row>
    <row r="15">
      <c r="A15" s="6" t="inlineStr">
        <is>
          <t>SFC粗利</t>
        </is>
      </c>
      <c r="B15" s="14" t="inlineStr">
        <is>
          <t>TODO</t>
        </is>
      </c>
      <c r="C15" s="14" t="inlineStr">
        <is>
          <t>TODO</t>
        </is>
      </c>
      <c r="D15" s="14" t="inlineStr">
        <is>
          <t>TODO</t>
        </is>
      </c>
      <c r="E15" s="14" t="inlineStr">
        <is>
          <t>TODO</t>
        </is>
      </c>
      <c r="F15" s="4" t="inlineStr"/>
      <c r="G15" s="5" t="inlineStr"/>
    </row>
    <row r="16">
      <c r="A16" s="8" t="inlineStr">
        <is>
          <t xml:space="preserve">　SFC原価率</t>
        </is>
      </c>
      <c r="B16" s="13" t="inlineStr">
        <is>
          <t>TODO</t>
        </is>
      </c>
      <c r="C16" s="13" t="inlineStr">
        <is>
          <t>TODO</t>
        </is>
      </c>
      <c r="D16" s="13" t="inlineStr">
        <is>
          <t>TODO</t>
        </is>
      </c>
      <c r="E16" s="13" t="inlineStr">
        <is>
          <t>TODO</t>
        </is>
      </c>
      <c r="F16" s="10" t="inlineStr"/>
      <c r="G16" s="11" t="inlineStr">
        <is>
          <t>高純度品 (不純物 1ppm以下) の原価構造</t>
        </is>
      </c>
    </row>
    <row r="17">
      <c r="A17" s="15" t="inlineStr">
        <is>
          <t>SFC販管費</t>
        </is>
      </c>
      <c r="B17" s="16" t="inlineStr">
        <is>
          <t>TODO</t>
        </is>
      </c>
      <c r="C17" s="16" t="inlineStr">
        <is>
          <t>TODO</t>
        </is>
      </c>
      <c r="D17" s="16" t="inlineStr">
        <is>
          <t>TODO</t>
        </is>
      </c>
      <c r="E17" s="16" t="inlineStr">
        <is>
          <t>TODO</t>
        </is>
      </c>
      <c r="F17" s="17" t="inlineStr"/>
      <c r="G17" s="18" t="inlineStr">
        <is>
          <t>天安工場運営費 + 韓国本社経費。生産量に概ね比例</t>
        </is>
      </c>
    </row>
    <row r="18">
      <c r="A18" s="6" t="inlineStr">
        <is>
          <t>SFC営業利益</t>
        </is>
      </c>
      <c r="B18" s="14" t="inlineStr">
        <is>
          <t>TODO</t>
        </is>
      </c>
      <c r="C18" s="14" t="inlineStr">
        <is>
          <t>TODO</t>
        </is>
      </c>
      <c r="D18" s="14" t="inlineStr">
        <is>
          <t>TODO</t>
        </is>
      </c>
      <c r="E18" s="14" t="inlineStr">
        <is>
          <t>TODO</t>
        </is>
      </c>
      <c r="F18" s="4" t="inlineStr"/>
      <c r="G18" s="5" t="inlineStr"/>
    </row>
    <row r="19">
      <c r="A19" s="8" t="inlineStr">
        <is>
          <t xml:space="preserve">　SFC法人税率 (韓国)</t>
        </is>
      </c>
      <c r="B19" s="13" t="n">
        <v>0.22</v>
      </c>
      <c r="C19" s="13" t="n">
        <v>0.22</v>
      </c>
      <c r="D19" s="13" t="n">
        <v>0.22</v>
      </c>
      <c r="E19" s="13" t="n">
        <v>0.22</v>
      </c>
      <c r="F19" s="10" t="inlineStr"/>
      <c r="G19" s="11" t="inlineStr">
        <is>
          <t>韓国の法人税実効税率 概ね22%。為替・控除によって変動</t>
        </is>
      </c>
    </row>
    <row r="20">
      <c r="A20" s="6" t="inlineStr">
        <is>
          <t>SFC純利益</t>
        </is>
      </c>
      <c r="B20" s="14" t="inlineStr">
        <is>
          <t>TODO</t>
        </is>
      </c>
      <c r="C20" s="14" t="inlineStr">
        <is>
          <t>TODO</t>
        </is>
      </c>
      <c r="D20" s="14" t="inlineStr">
        <is>
          <t>TODO</t>
        </is>
      </c>
      <c r="E20" s="14" t="inlineStr">
        <is>
          <t>TODO</t>
        </is>
      </c>
      <c r="F20" s="4" t="inlineStr"/>
      <c r="G20" s="5" t="inlineStr"/>
    </row>
    <row r="22">
      <c r="A22" s="3" t="inlineStr">
        <is>
          <t>【保土谷化学 連結損益】</t>
        </is>
      </c>
      <c r="F22" s="4" t="inlineStr"/>
      <c r="G22" s="5" t="inlineStr"/>
    </row>
    <row r="23">
      <c r="A23" s="15" t="inlineStr">
        <is>
          <t>国内化成品事業 売上高</t>
        </is>
      </c>
      <c r="B23" s="16" t="inlineStr">
        <is>
          <t>TODO</t>
        </is>
      </c>
      <c r="C23" s="16" t="inlineStr">
        <is>
          <t>TODO</t>
        </is>
      </c>
      <c r="D23" s="16" t="inlineStr">
        <is>
          <t>TODO</t>
        </is>
      </c>
      <c r="E23" s="16" t="inlineStr">
        <is>
          <t>TODO</t>
        </is>
      </c>
      <c r="F23" s="17" t="inlineStr"/>
      <c r="G23" s="18" t="inlineStr">
        <is>
          <t>染料・農薬中間体など。成熟。成長ドライバーではない</t>
        </is>
      </c>
    </row>
    <row r="24">
      <c r="A24" s="15" t="inlineStr">
        <is>
          <t>国内化成品事業 純利益</t>
        </is>
      </c>
      <c r="B24" s="16" t="inlineStr">
        <is>
          <t>TODO</t>
        </is>
      </c>
      <c r="C24" s="16" t="inlineStr">
        <is>
          <t>TODO</t>
        </is>
      </c>
      <c r="D24" s="16" t="inlineStr">
        <is>
          <t>TODO</t>
        </is>
      </c>
      <c r="E24" s="16" t="inlineStr">
        <is>
          <t>TODO</t>
        </is>
      </c>
      <c r="F24" s="17" t="inlineStr"/>
      <c r="G24" s="18" t="inlineStr">
        <is>
          <t>据え置き想定。詳細は会社開示のセグメント情報</t>
        </is>
      </c>
    </row>
    <row r="25">
      <c r="A25" s="6" t="inlineStr">
        <is>
          <t>SFCからの持分法利益 (×50%)</t>
        </is>
      </c>
      <c r="B25" s="14" t="inlineStr">
        <is>
          <t>TODO</t>
        </is>
      </c>
      <c r="C25" s="14" t="inlineStr">
        <is>
          <t>TODO</t>
        </is>
      </c>
      <c r="D25" s="14" t="inlineStr">
        <is>
          <t>TODO</t>
        </is>
      </c>
      <c r="E25" s="14" t="inlineStr">
        <is>
          <t>TODO</t>
        </is>
      </c>
      <c r="F25" s="4" t="inlineStr"/>
      <c r="G25" s="5" t="inlineStr">
        <is>
          <t>SFC純利益 × 50% (保土谷の出資比率)</t>
        </is>
      </c>
    </row>
    <row r="26">
      <c r="A26" s="6" t="inlineStr">
        <is>
          <t>連結 親会社株主帰属純利益</t>
        </is>
      </c>
      <c r="B26" s="14" t="inlineStr">
        <is>
          <t>TODO</t>
        </is>
      </c>
      <c r="C26" s="14" t="inlineStr">
        <is>
          <t>TODO</t>
        </is>
      </c>
      <c r="D26" s="14" t="inlineStr">
        <is>
          <t>TODO</t>
        </is>
      </c>
      <c r="E26" s="14" t="inlineStr">
        <is>
          <t>TODO</t>
        </is>
      </c>
      <c r="F26" s="4" t="inlineStr"/>
      <c r="G26" s="5" t="inlineStr"/>
    </row>
    <row r="28">
      <c r="A28" s="3" t="inlineStr">
        <is>
          <t>【株価・PER感応度】</t>
        </is>
      </c>
      <c r="F28" s="4" t="inlineStr"/>
      <c r="G28" s="5" t="inlineStr"/>
    </row>
    <row r="29">
      <c r="A29" s="15" t="inlineStr">
        <is>
          <t>発行済株式数 (千株)</t>
        </is>
      </c>
      <c r="B29" s="16" t="n">
        <v>15462</v>
      </c>
      <c r="C29" s="16" t="n">
        <v>15462</v>
      </c>
      <c r="D29" s="16" t="n">
        <v>15462</v>
      </c>
      <c r="E29" s="16" t="n">
        <v>15462</v>
      </c>
      <c r="F29" s="17" t="inlineStr"/>
      <c r="G29" s="18" t="inlineStr">
        <is>
          <t>時価総額 381億 / 株価 2464円 から逆算</t>
        </is>
      </c>
    </row>
    <row r="30">
      <c r="A30" s="6" t="inlineStr">
        <is>
          <t>EPS (円)</t>
        </is>
      </c>
      <c r="B30" s="14" t="inlineStr">
        <is>
          <t>TODO</t>
        </is>
      </c>
      <c r="C30" s="14" t="inlineStr">
        <is>
          <t>TODO</t>
        </is>
      </c>
      <c r="D30" s="14" t="inlineStr">
        <is>
          <t>TODO</t>
        </is>
      </c>
      <c r="E30" s="14" t="inlineStr">
        <is>
          <t>TODO</t>
        </is>
      </c>
      <c r="F30" s="4" t="inlineStr"/>
      <c r="G30" s="5" t="inlineStr">
        <is>
          <t>連結純利益 ÷ 発行済株式数</t>
        </is>
      </c>
    </row>
    <row r="31">
      <c r="A31" s="8" t="inlineStr">
        <is>
          <t xml:space="preserve">　Bear PER</t>
        </is>
      </c>
      <c r="B31" s="9" t="inlineStr">
        <is>
          <t>TODO: 10?</t>
        </is>
      </c>
      <c r="C31" s="9" t="inlineStr">
        <is>
          <t>TODO</t>
        </is>
      </c>
      <c r="D31" s="9" t="inlineStr">
        <is>
          <t>TODO</t>
        </is>
      </c>
      <c r="E31" s="9" t="inlineStr">
        <is>
          <t>TODO</t>
        </is>
      </c>
      <c r="F31" s="10" t="inlineStr"/>
      <c r="G31" s="11" t="inlineStr">
        <is>
          <t>MacBook Pro量産がFY27以降にズレ込み。SFCの寄与が限定的なシナリオ</t>
        </is>
      </c>
    </row>
    <row r="32">
      <c r="A32" s="8" t="inlineStr">
        <is>
          <t xml:space="preserve">　Base PER</t>
        </is>
      </c>
      <c r="B32" s="9" t="inlineStr">
        <is>
          <t>TODO: 15?</t>
        </is>
      </c>
      <c r="C32" s="9" t="inlineStr">
        <is>
          <t>TODO</t>
        </is>
      </c>
      <c r="D32" s="9" t="inlineStr">
        <is>
          <t>TODO</t>
        </is>
      </c>
      <c r="E32" s="9" t="inlineStr">
        <is>
          <t>TODO</t>
        </is>
      </c>
      <c r="F32" s="10" t="inlineStr"/>
      <c r="G32" s="11" t="inlineStr">
        <is>
          <t>MacBook Pro 200万枚出荷。タンデム効果をフル享受</t>
        </is>
      </c>
    </row>
    <row r="33">
      <c r="A33" s="8" t="inlineStr">
        <is>
          <t xml:space="preserve">　Bull PER</t>
        </is>
      </c>
      <c r="B33" s="9" t="inlineStr">
        <is>
          <t>TODO: 20?</t>
        </is>
      </c>
      <c r="C33" s="9" t="inlineStr">
        <is>
          <t>TODO</t>
        </is>
      </c>
      <c r="D33" s="9" t="inlineStr">
        <is>
          <t>TODO</t>
        </is>
      </c>
      <c r="E33" s="9" t="inlineStr">
        <is>
          <t>TODO</t>
        </is>
      </c>
      <c r="F33" s="10" t="inlineStr"/>
      <c r="G33" s="11" t="inlineStr">
        <is>
          <t>MacBook Pro + iPad Pro継続 + 追加IT-OLED案件</t>
        </is>
      </c>
    </row>
    <row r="34">
      <c r="A34" s="6" t="inlineStr">
        <is>
          <t>目標株価 Bear (円)</t>
        </is>
      </c>
      <c r="B34" s="14" t="inlineStr">
        <is>
          <t>TODO</t>
        </is>
      </c>
      <c r="C34" s="14" t="inlineStr">
        <is>
          <t>TODO</t>
        </is>
      </c>
      <c r="D34" s="14" t="inlineStr">
        <is>
          <t>TODO</t>
        </is>
      </c>
      <c r="E34" s="14" t="inlineStr">
        <is>
          <t>TODO</t>
        </is>
      </c>
      <c r="F34" s="4" t="inlineStr"/>
      <c r="G34" s="5" t="inlineStr">
        <is>
          <t>EPS × Bear PER</t>
        </is>
      </c>
    </row>
    <row r="35">
      <c r="A35" s="6" t="inlineStr">
        <is>
          <t>目標株価 Base (円)</t>
        </is>
      </c>
      <c r="B35" s="14" t="inlineStr">
        <is>
          <t>TODO</t>
        </is>
      </c>
      <c r="C35" s="14" t="inlineStr">
        <is>
          <t>TODO</t>
        </is>
      </c>
      <c r="D35" s="14" t="inlineStr">
        <is>
          <t>TODO</t>
        </is>
      </c>
      <c r="E35" s="14" t="inlineStr">
        <is>
          <t>TODO</t>
        </is>
      </c>
      <c r="F35" s="4" t="inlineStr"/>
      <c r="G35" s="5" t="inlineStr">
        <is>
          <t>EPS × Base PER</t>
        </is>
      </c>
    </row>
    <row r="36">
      <c r="A36" s="6" t="inlineStr">
        <is>
          <t>目標株価 Bull (円)</t>
        </is>
      </c>
      <c r="B36" s="14" t="inlineStr">
        <is>
          <t>TODO</t>
        </is>
      </c>
      <c r="C36" s="14" t="inlineStr">
        <is>
          <t>TODO</t>
        </is>
      </c>
      <c r="D36" s="14" t="inlineStr">
        <is>
          <t>TODO</t>
        </is>
      </c>
      <c r="E36" s="14" t="inlineStr">
        <is>
          <t>TODO</t>
        </is>
      </c>
      <c r="F36" s="4" t="inlineStr"/>
      <c r="G36" s="5" t="inlineStr">
        <is>
          <t>EPS × Bull PER</t>
        </is>
      </c>
    </row>
    <row r="38">
      <c r="A38" s="3" t="inlineStr">
        <is>
          <t>【「織り込み済み?」反論：時価総額据え置きシナリオ】</t>
        </is>
      </c>
      <c r="F38" s="4" t="inlineStr"/>
      <c r="G38" s="5" t="inlineStr"/>
    </row>
    <row r="39">
      <c r="A39" s="15" t="inlineStr">
        <is>
          <t>時価総額 (百万円・据え置き)</t>
        </is>
      </c>
      <c r="B39" s="16" t="n">
        <v>38100</v>
      </c>
      <c r="C39" s="16" t="n">
        <v>38100</v>
      </c>
      <c r="D39" s="16" t="n">
        <v>38100</v>
      </c>
      <c r="E39" s="16" t="n">
        <v>38100</v>
      </c>
      <c r="F39" s="17" t="inlineStr"/>
      <c r="G39" s="18" t="inlineStr">
        <is>
          <t>現在時価総額 381億円 を全年度で固定 (反論用)</t>
        </is>
      </c>
    </row>
    <row r="40">
      <c r="A40" s="6" t="inlineStr">
        <is>
          <t>連結純利益 Base (百万円)</t>
        </is>
      </c>
      <c r="B40" s="14" t="inlineStr">
        <is>
          <t>TODO</t>
        </is>
      </c>
      <c r="C40" s="14" t="inlineStr">
        <is>
          <t>TODO</t>
        </is>
      </c>
      <c r="D40" s="14" t="inlineStr">
        <is>
          <t>TODO</t>
        </is>
      </c>
      <c r="E40" s="14" t="inlineStr">
        <is>
          <t>TODO</t>
        </is>
      </c>
      <c r="F40" s="4" t="inlineStr"/>
      <c r="G40" s="5" t="inlineStr">
        <is>
          <t>上記Baseシナリオの純利益を再掲</t>
        </is>
      </c>
    </row>
    <row r="41">
      <c r="A41" s="6" t="inlineStr">
        <is>
          <t>時価総額据置PER</t>
        </is>
      </c>
      <c r="B41" s="19" t="inlineStr">
        <is>
          <t>TODO</t>
        </is>
      </c>
      <c r="C41" s="19" t="inlineStr">
        <is>
          <t>TODO</t>
        </is>
      </c>
      <c r="D41" s="19" t="inlineStr">
        <is>
          <t>TODO</t>
        </is>
      </c>
      <c r="E41" s="19" t="inlineStr">
        <is>
          <t>TODO</t>
        </is>
      </c>
      <c r="F41" s="4" t="inlineStr"/>
      <c r="G41" s="5" t="inlineStr">
        <is>
          <t>時価総額 ÷ Base純利益。利益増加で PER は機械的に低下する</t>
        </is>
      </c>
    </row>
    <row r="43">
      <c r="A43" s="3" t="inlineStr">
        <is>
          <t>【ピア比較 (PER)】</t>
        </is>
      </c>
      <c r="F43" s="4" t="inlineStr"/>
      <c r="G43" s="5" t="inlineStr"/>
    </row>
    <row r="44">
      <c r="A44" s="15" t="inlineStr">
        <is>
          <t>保土谷化学 (4112)</t>
        </is>
      </c>
      <c r="B44" s="20" t="inlineStr">
        <is>
          <t>TODO: 現PER</t>
        </is>
      </c>
      <c r="C44" s="20" t="inlineStr"/>
      <c r="D44" s="20" t="inlineStr"/>
      <c r="E44" s="20" t="inlineStr"/>
      <c r="F44" s="17" t="inlineStr"/>
      <c r="G44" s="18" t="inlineStr">
        <is>
          <t>現株価 2464円 / EPS(直近実績) で算出</t>
        </is>
      </c>
    </row>
    <row r="45">
      <c r="A45" s="8" t="inlineStr">
        <is>
          <t xml:space="preserve">　ピア① OLED材料系上場会社</t>
        </is>
      </c>
      <c r="B45" s="21" t="inlineStr">
        <is>
          <t>TODO</t>
        </is>
      </c>
      <c r="C45" s="21" t="inlineStr"/>
      <c r="D45" s="21" t="inlineStr"/>
      <c r="E45" s="21" t="inlineStr"/>
      <c r="F45" s="10" t="inlineStr"/>
      <c r="G45" s="11" t="inlineStr">
        <is>
          <t>多軸選定：OLED材料同業。SDCの別サプライヤーが上場していれば理想</t>
        </is>
      </c>
    </row>
    <row r="46">
      <c r="A46" s="8" t="inlineStr">
        <is>
          <t xml:space="preserve">　ピア② 化学 (染料/中間体) 業界平均</t>
        </is>
      </c>
      <c r="B46" s="21" t="inlineStr">
        <is>
          <t>TODO</t>
        </is>
      </c>
      <c r="C46" s="21" t="inlineStr"/>
      <c r="D46" s="21" t="inlineStr"/>
      <c r="E46" s="21" t="inlineStr"/>
      <c r="F46" s="10" t="inlineStr"/>
      <c r="G46" s="11" t="inlineStr">
        <is>
          <t>多軸選定：表向きの業態カテゴリ。市場の現在の認識を反映</t>
        </is>
      </c>
    </row>
    <row r="47">
      <c r="A47" s="8" t="inlineStr">
        <is>
          <t xml:space="preserve">　ピア③ 持分法主導 (連結利益≒関連会社利益) 企業</t>
        </is>
      </c>
      <c r="B47" s="21" t="inlineStr">
        <is>
          <t>TODO</t>
        </is>
      </c>
      <c r="C47" s="21" t="inlineStr"/>
      <c r="D47" s="21" t="inlineStr"/>
      <c r="E47" s="21" t="inlineStr"/>
      <c r="F47" s="10" t="inlineStr"/>
      <c r="G47" s="11" t="inlineStr">
        <is>
          <t>多軸選定：ビジネス構造の類似(50%出資先が主力)。例：商社系の持分会社主導銘柄</t>
        </is>
      </c>
    </row>
    <row r="49">
      <c r="A49" s="3" t="inlineStr">
        <is>
          <t>【KPI &amp; Riskオフセット】</t>
        </is>
      </c>
      <c r="F49" s="4" t="inlineStr"/>
      <c r="G49" s="5" t="inlineStr"/>
    </row>
    <row r="50">
      <c r="A50" s="15" t="inlineStr">
        <is>
          <t>A6ライン歩留まり</t>
        </is>
      </c>
      <c r="B50" s="22" t="inlineStr">
        <is>
          <t>TODO</t>
        </is>
      </c>
      <c r="C50" s="22" t="inlineStr">
        <is>
          <t>TODO</t>
        </is>
      </c>
      <c r="D50" s="22" t="n">
        <v>0.85</v>
      </c>
      <c r="E50" s="22" t="n">
        <v>0.9</v>
      </c>
      <c r="F50" s="17" t="inlineStr">
        <is>
          <t>★</t>
        </is>
      </c>
      <c r="G50" s="18" t="inlineStr">
        <is>
          <t>Digitimes：2026年4月時点85%超。85%超は量産フェーズとして十分</t>
        </is>
      </c>
    </row>
    <row r="51">
      <c r="A51" s="15" t="inlineStr">
        <is>
          <t>タンデム採用率 (IT-OLED全体)</t>
        </is>
      </c>
      <c r="B51" s="22" t="n">
        <v>0.3</v>
      </c>
      <c r="C51" s="22" t="inlineStr">
        <is>
          <t>TODO</t>
        </is>
      </c>
      <c r="D51" s="22" t="n">
        <v>0.36</v>
      </c>
      <c r="E51" s="22" t="inlineStr">
        <is>
          <t>TODO</t>
        </is>
      </c>
      <c r="F51" s="17" t="inlineStr">
        <is>
          <t>★★</t>
        </is>
      </c>
      <c r="G51" s="18" t="inlineStr">
        <is>
          <t>Omdia：2024年30%超 → 2026年36%。今後も上昇見込み</t>
        </is>
      </c>
    </row>
    <row r="52">
      <c r="A52" s="15" t="inlineStr">
        <is>
          <t>LG Chem訴訟 特別損失(シナリオB)</t>
        </is>
      </c>
      <c r="B52" s="16" t="n">
        <v>0</v>
      </c>
      <c r="C52" s="16" t="n">
        <v>0</v>
      </c>
      <c r="D52" s="16" t="n">
        <v>2200</v>
      </c>
      <c r="E52" s="16" t="n">
        <v>0</v>
      </c>
      <c r="F52" s="17" t="inlineStr"/>
      <c r="G52" s="18" t="inlineStr">
        <is>
          <t>シナリオB確率45%。約22億円。判決2026年7〜8月予定。詳細はAppendix</t>
        </is>
      </c>
    </row>
    <row r="53">
      <c r="A53" s="8" t="inlineStr">
        <is>
          <t xml:space="preserve">　シナリオB確率</t>
        </is>
      </c>
      <c r="B53" s="13" t="n">
        <v>0.45</v>
      </c>
      <c r="C53" s="13" t="n">
        <v>0.45</v>
      </c>
      <c r="D53" s="13" t="n">
        <v>0.45</v>
      </c>
      <c r="E53" s="13" t="n">
        <v>0.45</v>
      </c>
      <c r="F53" s="10" t="inlineStr"/>
      <c r="G53" s="11" t="inlineStr">
        <is>
          <t>LG Chem敗訴で損害賠償のみ。製造販売は継続。株価への影響は軽微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2026-05-12T16:29:26Z</dcterms:created>
  <dcterms:modified xmlns:dcterms="http://purl.org/dc/terms/" xmlns:xsi="http://www.w3.org/2001/XMLSchema-instance" xsi:type="dcterms:W3CDTF">2026-05-12T16:29:26Z</dcterms:modified>
</cp:coreProperties>
</file>